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oroh\OneDrive\Рабочий стол\Учёба\Дз\Информационые технологии\Курсовая\"/>
    </mc:Choice>
  </mc:AlternateContent>
  <xr:revisionPtr revIDLastSave="0" documentId="13_ncr:1_{A401ADA5-6BA1-4742-B784-93B2538B7194}" xr6:coauthVersionLast="45" xr6:coauthVersionMax="45" xr10:uidLastSave="{00000000-0000-0000-0000-000000000000}"/>
  <bookViews>
    <workbookView xWindow="-120" yWindow="-120" windowWidth="20730" windowHeight="11160" xr2:uid="{2A329889-C352-40B1-819D-37DA6AB33B25}"/>
  </bookViews>
  <sheets>
    <sheet name="Меню" sheetId="5" r:id="rId1"/>
    <sheet name="Прайс_лист" sheetId="4" r:id="rId2"/>
    <sheet name="Форма_д_зак." sheetId="3" r:id="rId3"/>
    <sheet name="Списки" sheetId="2" state="hidden" r:id="rId4"/>
    <sheet name="Заказы" sheetId="1" r:id="rId5"/>
  </sheets>
  <definedNames>
    <definedName name="CountOfCopies">Форма_д_зак.!$C$8</definedName>
    <definedName name="dCost">Форма_д_зак.!$C$12</definedName>
    <definedName name="Distance">Форма_д_зак.!$C$10</definedName>
    <definedName name="DocType">Форма_д_зак.!$C$4</definedName>
    <definedName name="Form">Форма_д_зак.!$C$2:$C$12</definedName>
    <definedName name="Format">Форма_д_зак.!$C$6</definedName>
    <definedName name="Name">Форма_д_зак.!$C$2</definedName>
    <definedName name="Number">Форма_д_зак.!$C$3</definedName>
    <definedName name="PaperType">Форма_д_зак.!$C$7</definedName>
    <definedName name="PrintType">Форма_д_зак.!$C$5</definedName>
    <definedName name="Shipping">Форма_д_зак.!$C$9</definedName>
    <definedName name="zCost">Форма_д_зак.!$C$11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3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Горохов Владислав</author>
  </authors>
  <commentList>
    <comment ref="C2" authorId="0" shapeId="0" xr:uid="{45A81D1E-4131-40B7-A48C-0AC8B64F5410}">
      <text>
        <r>
          <rPr>
            <b/>
            <sz val="8"/>
            <color indexed="81"/>
            <rFont val="Tahoma"/>
            <family val="2"/>
            <charset val="204"/>
          </rPr>
          <t xml:space="preserve">Введите ФИО / название компании
</t>
        </r>
        <r>
          <rPr>
            <sz val="8"/>
            <color indexed="81"/>
            <rFont val="Tahoma"/>
            <family val="2"/>
            <charset val="204"/>
          </rPr>
          <t>Ваши полные фамилия, имя, отчество или название Вашей компании</t>
        </r>
      </text>
    </comment>
    <comment ref="C3" authorId="0" shapeId="0" xr:uid="{30FF67A8-3225-4697-A3B4-9AC9989ECB0C}">
      <text>
        <r>
          <rPr>
            <b/>
            <sz val="8"/>
            <color indexed="81"/>
            <rFont val="Tahoma"/>
            <family val="2"/>
            <charset val="204"/>
          </rPr>
          <t xml:space="preserve">Введите номер телефона
</t>
        </r>
        <r>
          <rPr>
            <sz val="8"/>
            <color indexed="81"/>
            <rFont val="Tahoma"/>
            <family val="2"/>
            <charset val="204"/>
          </rPr>
          <t>Номер телефона без международного кода
Пример: 9851234567</t>
        </r>
      </text>
    </comment>
    <comment ref="C4" authorId="0" shapeId="0" xr:uid="{4CC9B33B-00EF-4D21-A5DE-5FECD01AB584}">
      <text>
        <r>
          <rPr>
            <b/>
            <sz val="8"/>
            <color indexed="81"/>
            <rFont val="Tahoma"/>
            <family val="2"/>
            <charset val="204"/>
          </rPr>
          <t xml:space="preserve">Выберите тип документа
</t>
        </r>
        <r>
          <rPr>
            <sz val="8"/>
            <color indexed="81"/>
            <rFont val="Tahoma"/>
            <family val="2"/>
            <charset val="204"/>
          </rPr>
          <t>Фото/ текст/ фото и текст</t>
        </r>
      </text>
    </comment>
    <comment ref="C5" authorId="0" shapeId="0" xr:uid="{A888F3E2-FDEA-4AFB-874F-8F0A25E55BE3}">
      <text>
        <r>
          <rPr>
            <b/>
            <sz val="8"/>
            <color indexed="81"/>
            <rFont val="Tahoma"/>
            <family val="2"/>
            <charset val="204"/>
          </rPr>
          <t xml:space="preserve">Выберите тип печати
</t>
        </r>
        <r>
          <rPr>
            <sz val="8"/>
            <color indexed="81"/>
            <rFont val="Tahoma"/>
            <family val="2"/>
            <charset val="204"/>
          </rPr>
          <t>Цвет (только для типов документа "фото" и "фото и текст")/ ЧБ</t>
        </r>
      </text>
    </comment>
    <comment ref="C6" authorId="0" shapeId="0" xr:uid="{5AAF96E4-167C-4B68-A2CA-553BE2478097}">
      <text>
        <r>
          <rPr>
            <b/>
            <sz val="8"/>
            <color indexed="81"/>
            <rFont val="Tahoma"/>
            <family val="2"/>
            <charset val="204"/>
          </rPr>
          <t>Выберите нужный формат бумаги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8"/>
            <color indexed="81"/>
            <rFont val="Tahoma"/>
            <family val="2"/>
            <charset val="204"/>
          </rPr>
          <t>A4/ A5/ B5/ 10x15 см/ 13x18 см /20x25 см/ L 89x127 мм/ 2L 127x178 мм
(10x15 см/ 13x18 см /20x25 см/ L 89x127 мм/ 2L 127x178 мм - только для типа документа "фото")</t>
        </r>
      </text>
    </comment>
    <comment ref="C7" authorId="0" shapeId="0" xr:uid="{D0764A5E-0324-418C-961F-A8C57B01A201}">
      <text>
        <r>
          <rPr>
            <b/>
            <sz val="8"/>
            <color indexed="81"/>
            <rFont val="Tahoma"/>
            <family val="2"/>
            <charset val="204"/>
          </rPr>
          <t xml:space="preserve">Выберите тип бумаги
</t>
        </r>
        <r>
          <rPr>
            <sz val="8"/>
            <color indexed="81"/>
            <rFont val="Tahoma"/>
            <family val="2"/>
            <charset val="204"/>
          </rPr>
          <t>Обычный/ матовая/ глянцевая
(Матовая/ глянцевая - только для типа документа "фото")</t>
        </r>
      </text>
    </comment>
    <comment ref="C8" authorId="0" shapeId="0" xr:uid="{C7C90B14-7256-40DD-BE3F-A1319B45D457}">
      <text>
        <r>
          <rPr>
            <b/>
            <sz val="8"/>
            <color indexed="81"/>
            <rFont val="Tahoma"/>
            <family val="2"/>
            <charset val="204"/>
          </rPr>
          <t xml:space="preserve">Введите нужное количество копий
</t>
        </r>
        <r>
          <rPr>
            <sz val="8"/>
            <color indexed="81"/>
            <rFont val="Tahoma"/>
            <family val="2"/>
            <charset val="204"/>
          </rPr>
          <t>Минимум: 1
Максимум: 100</t>
        </r>
      </text>
    </comment>
    <comment ref="C9" authorId="0" shapeId="0" xr:uid="{4684A5A2-7713-4C57-90A0-3C7CADBE6AA0}">
      <text>
        <r>
          <rPr>
            <b/>
            <sz val="8"/>
            <color indexed="81"/>
            <rFont val="Tahoma"/>
            <family val="2"/>
            <charset val="204"/>
          </rPr>
          <t xml:space="preserve">Необходимость доставки
</t>
        </r>
        <r>
          <rPr>
            <sz val="8"/>
            <color indexed="81"/>
            <rFont val="Tahoma"/>
            <family val="2"/>
            <charset val="204"/>
          </rPr>
          <t>Требуется/ не требуется</t>
        </r>
      </text>
    </comment>
    <comment ref="C10" authorId="0" shapeId="0" xr:uid="{F942F066-774F-4306-AB73-B2B6F8553B39}">
      <text>
        <r>
          <rPr>
            <b/>
            <sz val="8"/>
            <color indexed="81"/>
            <rFont val="Tahoma"/>
            <family val="2"/>
            <charset val="204"/>
          </rPr>
          <t xml:space="preserve">Расстояние доставки
</t>
        </r>
        <r>
          <rPr>
            <sz val="8"/>
            <color indexed="81"/>
            <rFont val="Tahoma"/>
            <family val="2"/>
            <charset val="204"/>
          </rPr>
          <t>В километрах (от 1 до 1000)</t>
        </r>
      </text>
    </comment>
  </commentList>
</comments>
</file>

<file path=xl/sharedStrings.xml><?xml version="1.0" encoding="utf-8"?>
<sst xmlns="http://schemas.openxmlformats.org/spreadsheetml/2006/main" count="333" uniqueCount="88">
  <si>
    <t>№ п/п</t>
  </si>
  <si>
    <t>Тип печати</t>
  </si>
  <si>
    <t>Формат бумаги</t>
  </si>
  <si>
    <t>Дата заказа</t>
  </si>
  <si>
    <t>Время заказа</t>
  </si>
  <si>
    <t>Тип бумаги</t>
  </si>
  <si>
    <t>Номер телефона заказчика</t>
  </si>
  <si>
    <t>Тип документа</t>
  </si>
  <si>
    <t>Количество копий</t>
  </si>
  <si>
    <t>Номер телефона:</t>
  </si>
  <si>
    <t>Тип печати:</t>
  </si>
  <si>
    <t>Формат бумаги:</t>
  </si>
  <si>
    <t>Тип бумаги:</t>
  </si>
  <si>
    <t>Количество копий:</t>
  </si>
  <si>
    <t>Форма ввода данных</t>
  </si>
  <si>
    <t>Черно-белый</t>
  </si>
  <si>
    <t>Цветной</t>
  </si>
  <si>
    <t>Форматы</t>
  </si>
  <si>
    <t>A4</t>
  </si>
  <si>
    <t>A5</t>
  </si>
  <si>
    <t>B5</t>
  </si>
  <si>
    <t>10x15 см</t>
  </si>
  <si>
    <t>13x18 см</t>
  </si>
  <si>
    <t>20x25 см</t>
  </si>
  <si>
    <t>2L 127x178 мм</t>
  </si>
  <si>
    <t>L 89x127 мм</t>
  </si>
  <si>
    <t>Фото</t>
  </si>
  <si>
    <t>Текст</t>
  </si>
  <si>
    <t>Фото и текст</t>
  </si>
  <si>
    <t>Глянцевая</t>
  </si>
  <si>
    <t>Матовая</t>
  </si>
  <si>
    <t>Обычный</t>
  </si>
  <si>
    <t>Тип документа:</t>
  </si>
  <si>
    <t>Название организации / ФИО заказчика</t>
  </si>
  <si>
    <t>ФИО заказчика / название организации:</t>
  </si>
  <si>
    <t>Выполнен</t>
  </si>
  <si>
    <t>Дата выполнения</t>
  </si>
  <si>
    <t>Да</t>
  </si>
  <si>
    <t>CheckBox</t>
  </si>
  <si>
    <t>Нет</t>
  </si>
  <si>
    <t>10x15</t>
  </si>
  <si>
    <t>13x18</t>
  </si>
  <si>
    <t>20x25</t>
  </si>
  <si>
    <t>L 89x127</t>
  </si>
  <si>
    <t>2L 127x178</t>
  </si>
  <si>
    <t>Итоговая стоимость заказа:</t>
  </si>
  <si>
    <t>Стоимость заказа</t>
  </si>
  <si>
    <t>Черно-белое</t>
  </si>
  <si>
    <t>Цветное</t>
  </si>
  <si>
    <t>Формат</t>
  </si>
  <si>
    <t>Документ (фото и текст)</t>
  </si>
  <si>
    <t>Все заказы</t>
  </si>
  <si>
    <t>Цена, ₽</t>
  </si>
  <si>
    <t>|</t>
  </si>
  <si>
    <t>Оплачен</t>
  </si>
  <si>
    <t>Доставка:</t>
  </si>
  <si>
    <t>Доставка</t>
  </si>
  <si>
    <t>Требуется</t>
  </si>
  <si>
    <t>Не требуется</t>
  </si>
  <si>
    <t>Рассотяние:</t>
  </si>
  <si>
    <t>Стоимость доставки:</t>
  </si>
  <si>
    <t>Стоимость</t>
  </si>
  <si>
    <t>Расстояние, км</t>
  </si>
  <si>
    <t>Доставка осуществляется на расстояние не более 1000 километров</t>
  </si>
  <si>
    <t>Стоимость доставки</t>
  </si>
  <si>
    <r>
      <t>Обатите</t>
    </r>
    <r>
      <rPr>
        <sz val="11"/>
        <color rgb="FFFF0000"/>
        <rFont val="Calibri"/>
        <family val="2"/>
        <charset val="204"/>
        <scheme val="minor"/>
      </rPr>
      <t xml:space="preserve"> </t>
    </r>
    <r>
      <rPr>
        <b/>
        <sz val="11"/>
        <color rgb="FFFF0000"/>
        <rFont val="Calibri"/>
        <family val="2"/>
        <charset val="204"/>
        <scheme val="minor"/>
      </rPr>
      <t>внимание</t>
    </r>
    <r>
      <rPr>
        <sz val="11"/>
        <rFont val="Calibri"/>
        <family val="2"/>
        <charset val="204"/>
        <scheme val="minor"/>
      </rPr>
      <t xml:space="preserve"> на ограничения, указанные в заметках к полям ввода "Тип печати", "Формат бумаги" и "Тип бумаги"!</t>
    </r>
  </si>
  <si>
    <t>Примечание</t>
  </si>
  <si>
    <t>Горохов Владислав Дмитриевич</t>
  </si>
  <si>
    <t>Корнилов Вадим Александрович</t>
  </si>
  <si>
    <t>Крокодилов Геннадий Иванович</t>
  </si>
  <si>
    <t>Зубило Федор Сергеевич</t>
  </si>
  <si>
    <t>Отказ</t>
  </si>
  <si>
    <t>Шварценеггер Терменат Арнольдович</t>
  </si>
  <si>
    <t>Завершён</t>
  </si>
  <si>
    <t>Шипилов Борис Электронович</t>
  </si>
  <si>
    <t>Винтов Летчик Капитанович</t>
  </si>
  <si>
    <t>ООО "Рога и копыта"</t>
  </si>
  <si>
    <t>Сильвестров Рембо Сталлоневич</t>
  </si>
  <si>
    <t>Волков Мэттью Макконохович</t>
  </si>
  <si>
    <t>Голливудов Брэд Питтович</t>
  </si>
  <si>
    <t>Титаников Леонардо Дикаприевич</t>
  </si>
  <si>
    <t>Воробьев Джонни Деппович</t>
  </si>
  <si>
    <t>ООО "Какие Люди"</t>
  </si>
  <si>
    <t>ООО "Как Приятно"</t>
  </si>
  <si>
    <t>ООО "ААА"</t>
  </si>
  <si>
    <t>Спаггетьев Нусрет Итальянович</t>
  </si>
  <si>
    <t>Иванов Петр Сергеевич</t>
  </si>
  <si>
    <t>Григорьев Григорий Григориевич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</si>
</sst>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&quot;+7(&quot;000&quot;)-&quot;000&quot;-&quot;00&quot;-&quot;00"/>
  </numFmts>
  <fonts count="2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rgb="FF00206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rgb="FF002060"/>
      <name val="Calibri"/>
      <family val="2"/>
      <charset val="204"/>
      <scheme val="minor"/>
    </font>
    <font>
      <sz val="20"/>
      <color theme="1"/>
      <name val="Mistral"/>
      <family val="4"/>
      <charset val="204"/>
    </font>
    <font>
      <b/>
      <sz val="12"/>
      <color rgb="FF000000"/>
      <name val="Calibri"/>
      <family val="2"/>
      <charset val="204"/>
    </font>
    <font>
      <b/>
      <sz val="13"/>
      <color rgb="FF000000"/>
      <name val="Calibri"/>
      <family val="2"/>
      <charset val="204"/>
    </font>
    <font>
      <b/>
      <sz val="22"/>
      <color theme="0"/>
      <name val="Calibri Light"/>
      <family val="2"/>
      <charset val="204"/>
      <scheme val="major"/>
    </font>
    <font>
      <b/>
      <sz val="14"/>
      <color theme="0"/>
      <name val="Calibri Light"/>
      <family val="2"/>
      <charset val="204"/>
      <scheme val="major"/>
    </font>
    <font>
      <sz val="16"/>
      <color theme="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4"/>
      <color rgb="FF002060"/>
      <name val="Calibri"/>
      <family val="2"/>
      <charset val="204"/>
      <scheme val="minor"/>
    </font>
    <font>
      <sz val="11"/>
      <color rgb="FF00206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6" tint="-0.499984740745262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293D5B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double">
        <color theme="2" tint="-0.749992370372631"/>
      </bottom>
      <diagonal/>
    </border>
    <border>
      <left/>
      <right/>
      <top style="thin">
        <color indexed="64"/>
      </top>
      <bottom style="double">
        <color theme="2" tint="-0.74999237037263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0" applyNumberFormat="0" applyFill="0" applyAlignment="0" applyProtection="0"/>
  </cellStyleXfs>
  <cellXfs count="114">
    <xf numFmtId="0" fontId="0" fillId="0" borderId="0" xfId="0"/>
    <xf numFmtId="0" fontId="0" fillId="0" borderId="1" xfId="0" applyBorder="1" applyAlignment="1" applyProtection="1">
      <alignment horizontal="right"/>
      <protection locked="0"/>
    </xf>
    <xf numFmtId="0" fontId="3" fillId="0" borderId="1" xfId="0" applyFont="1" applyBorder="1"/>
    <xf numFmtId="0" fontId="0" fillId="0" borderId="7" xfId="0" applyBorder="1"/>
    <xf numFmtId="0" fontId="0" fillId="0" borderId="0" xfId="0" applyFont="1" applyAlignment="1">
      <alignment horizontal="center"/>
    </xf>
    <xf numFmtId="0" fontId="0" fillId="0" borderId="0" xfId="0" applyFont="1"/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165" fontId="0" fillId="0" borderId="1" xfId="0" applyNumberFormat="1" applyBorder="1" applyAlignment="1" applyProtection="1">
      <alignment horizontal="right"/>
      <protection locked="0"/>
    </xf>
    <xf numFmtId="0" fontId="11" fillId="3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4" borderId="0" xfId="0" applyFill="1"/>
    <xf numFmtId="0" fontId="0" fillId="2" borderId="33" xfId="0" applyFill="1" applyBorder="1"/>
    <xf numFmtId="0" fontId="15" fillId="0" borderId="35" xfId="1" applyFont="1" applyBorder="1"/>
    <xf numFmtId="0" fontId="0" fillId="4" borderId="7" xfId="0" applyFill="1" applyBorder="1"/>
    <xf numFmtId="1" fontId="4" fillId="0" borderId="34" xfId="1" applyNumberFormat="1" applyFont="1" applyBorder="1" applyProtection="1">
      <protection locked="0"/>
    </xf>
    <xf numFmtId="0" fontId="0" fillId="0" borderId="0" xfId="0" applyBorder="1"/>
    <xf numFmtId="0" fontId="0" fillId="0" borderId="0" xfId="0" applyProtection="1"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5" fillId="0" borderId="31" xfId="0" applyFont="1" applyBorder="1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5" fillId="0" borderId="16" xfId="0" applyFont="1" applyBorder="1" applyProtection="1"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5" fillId="0" borderId="3" xfId="0" applyFont="1" applyBorder="1" applyProtection="1"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5" fillId="0" borderId="14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32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5" fillId="0" borderId="19" xfId="0" applyFont="1" applyBorder="1" applyProtection="1">
      <protection locked="0"/>
    </xf>
    <xf numFmtId="0" fontId="5" fillId="0" borderId="17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15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Border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14" fontId="0" fillId="0" borderId="3" xfId="0" applyNumberFormat="1" applyBorder="1" applyAlignment="1" applyProtection="1">
      <alignment horizontal="center"/>
      <protection locked="0" hidden="1"/>
    </xf>
    <xf numFmtId="14" fontId="0" fillId="0" borderId="1" xfId="0" applyNumberFormat="1" applyFont="1" applyBorder="1" applyAlignment="1" applyProtection="1">
      <alignment horizontal="center"/>
      <protection locked="0" hidden="1"/>
    </xf>
    <xf numFmtId="14" fontId="0" fillId="0" borderId="0" xfId="0" applyNumberFormat="1" applyProtection="1"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0" fillId="0" borderId="41" xfId="0" applyBorder="1" applyAlignment="1" applyProtection="1">
      <alignment horizontal="center"/>
      <protection locked="0" hidden="1"/>
    </xf>
    <xf numFmtId="0" fontId="0" fillId="0" borderId="0" xfId="0" applyProtection="1">
      <protection locked="0" hidden="1"/>
    </xf>
    <xf numFmtId="0" fontId="9" fillId="3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0" fillId="3" borderId="2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 textRotation="90"/>
    </xf>
    <xf numFmtId="0" fontId="2" fillId="2" borderId="7" xfId="0" applyFont="1" applyFill="1" applyBorder="1" applyAlignment="1">
      <alignment horizontal="center" vertical="center" textRotation="90"/>
    </xf>
    <xf numFmtId="0" fontId="2" fillId="2" borderId="4" xfId="0" applyFont="1" applyFill="1" applyBorder="1" applyAlignment="1">
      <alignment horizontal="center" vertical="center" textRotation="90"/>
    </xf>
    <xf numFmtId="0" fontId="10" fillId="3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textRotation="90"/>
    </xf>
    <xf numFmtId="0" fontId="2" fillId="2" borderId="0" xfId="0" applyFont="1" applyFill="1" applyBorder="1" applyAlignment="1">
      <alignment horizontal="center" vertical="center" textRotation="90"/>
    </xf>
    <xf numFmtId="0" fontId="2" fillId="2" borderId="12" xfId="0" applyFont="1" applyFill="1" applyBorder="1" applyAlignment="1">
      <alignment horizontal="center" vertical="center" textRotation="90"/>
    </xf>
    <xf numFmtId="0" fontId="10" fillId="3" borderId="20" xfId="0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0" fontId="10" fillId="3" borderId="38" xfId="0" applyFont="1" applyFill="1" applyBorder="1" applyAlignment="1">
      <alignment horizontal="center" vertical="center"/>
    </xf>
    <xf numFmtId="0" fontId="10" fillId="3" borderId="39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40" xfId="0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6" fillId="0" borderId="40" xfId="0" applyFont="1" applyBorder="1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/>
    </xf>
    <xf numFmtId="14" fontId="0" fillId="0" borderId="6" xfId="0" applyNumberFormat="1" applyFont="1" applyBorder="1" applyAlignment="1" applyProtection="1">
      <alignment horizontal="center"/>
      <protection locked="0" hidden="1"/>
    </xf>
    <xf numFmtId="0" fontId="0" fillId="0" borderId="1" xfId="0" applyBorder="1" applyAlignment="1" applyProtection="1">
      <alignment horizontal="right" vertical="center"/>
      <protection locked="0" hidden="1"/>
    </xf>
    <xf numFmtId="165" fontId="0" fillId="0" borderId="1" xfId="0" applyNumberFormat="1" applyBorder="1" applyAlignment="1" applyProtection="1">
      <alignment horizontal="right"/>
      <protection locked="0" hidden="1"/>
    </xf>
    <xf numFmtId="14" fontId="0" fillId="0" borderId="1" xfId="0" applyNumberFormat="1" applyBorder="1" applyAlignment="1" applyProtection="1">
      <alignment horizontal="center"/>
      <protection locked="0" hidden="1"/>
    </xf>
    <xf numFmtId="164" fontId="0" fillId="0" borderId="1" xfId="0" applyNumberFormat="1" applyBorder="1" applyAlignment="1" applyProtection="1">
      <alignment horizontal="center"/>
      <protection locked="0" hidden="1"/>
    </xf>
    <xf numFmtId="0" fontId="0" fillId="0" borderId="1" xfId="0" applyBorder="1" applyAlignment="1" applyProtection="1">
      <alignment horizontal="center"/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0" fontId="0" fillId="0" borderId="42" xfId="0" applyBorder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0" fillId="0" borderId="6" xfId="0" applyBorder="1" applyAlignment="1" applyProtection="1">
      <alignment horizontal="right" vertical="center"/>
      <protection locked="0" hidden="1"/>
    </xf>
    <xf numFmtId="165" fontId="0" fillId="0" borderId="6" xfId="0" applyNumberFormat="1" applyBorder="1" applyAlignment="1" applyProtection="1">
      <alignment horizontal="right"/>
      <protection locked="0" hidden="1"/>
    </xf>
    <xf numFmtId="14" fontId="0" fillId="0" borderId="6" xfId="0" applyNumberFormat="1" applyBorder="1" applyAlignment="1" applyProtection="1">
      <alignment horizontal="center"/>
      <protection locked="0" hidden="1"/>
    </xf>
    <xf numFmtId="164" fontId="0" fillId="0" borderId="6" xfId="0" applyNumberFormat="1" applyBorder="1" applyAlignment="1" applyProtection="1">
      <alignment horizontal="center"/>
      <protection locked="0" hidden="1"/>
    </xf>
    <xf numFmtId="0" fontId="0" fillId="0" borderId="6" xfId="0" applyBorder="1" applyAlignment="1" applyProtection="1">
      <alignment horizontal="center"/>
      <protection locked="0" hidden="1"/>
    </xf>
    <xf numFmtId="0" fontId="0" fillId="0" borderId="6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right" vertical="center"/>
      <protection locked="0" hidden="1"/>
    </xf>
    <xf numFmtId="164" fontId="0" fillId="0" borderId="0" xfId="0" applyNumberFormat="1" applyProtection="1"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0" fillId="0" borderId="3" xfId="0" applyBorder="1" applyAlignment="1" applyProtection="1">
      <alignment horizontal="center" vertical="center"/>
      <protection locked="0" hidden="1"/>
    </xf>
    <xf numFmtId="0" fontId="0" fillId="0" borderId="3" xfId="0" applyBorder="1" applyAlignment="1" applyProtection="1">
      <alignment horizontal="center"/>
      <protection locked="0" hidden="1"/>
    </xf>
    <xf numFmtId="164" fontId="0" fillId="0" borderId="3" xfId="0" applyNumberFormat="1" applyBorder="1" applyAlignment="1" applyProtection="1">
      <alignment horizontal="center"/>
      <protection locked="0" hidden="1"/>
    </xf>
    <xf numFmtId="14" fontId="0" fillId="0" borderId="3" xfId="0" applyNumberFormat="1" applyBorder="1" applyAlignment="1" applyProtection="1">
      <alignment horizontal="center" vertical="center"/>
      <protection locked="0" hidden="1"/>
    </xf>
  </cellXfs>
  <cellStyles count="2">
    <cellStyle name="Итог" xfId="1" builtinId="25"/>
    <cellStyle name="Обычный" xfId="0" builtinId="0"/>
  </cellStyles>
  <dxfs count="2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protection locked="0" hidden="1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numFmt numFmtId="164" formatCode="[$-F400]h:mm:ss\ AM/P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numFmt numFmtId="165" formatCode="&quot;+7(&quot;000&quot;)-&quot;000&quot;-&quot;00&quot;-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1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horizontal/>
      </border>
      <protection locked="0" hidden="1"/>
    </dxf>
    <dxf>
      <alignment horizontal="center" vertical="bottom" textRotation="0" wrapText="0" indent="0" justifyLastLine="0" shrinkToFit="0" readingOrder="0"/>
      <protection locked="0" hidden="1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colors>
    <mruColors>
      <color rgb="FFCCECFF"/>
      <color rgb="FFC9FFDB"/>
      <color rgb="FF16A6FE"/>
      <color rgb="FF001746"/>
      <color rgb="FFB9FFD0"/>
      <color rgb="FF293D5B"/>
      <color rgb="FF66FF99"/>
      <color rgb="FFE7FFF2"/>
      <color rgb="FFF4D1FF"/>
      <color rgb="FFEFB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pngimg.com/download/31560" TargetMode="External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n/the-button-button-icon-web-pages-859346/" TargetMode="External"/><Relationship Id="rId2" Type="http://schemas.openxmlformats.org/officeDocument/2006/relationships/image" Target="../media/image3.png"/><Relationship Id="rId1" Type="http://schemas.openxmlformats.org/officeDocument/2006/relationships/hyperlink" Target="#&#1052;&#1077;&#1085;&#1102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n/the-button-button-icon-web-pages-859346/" TargetMode="External"/><Relationship Id="rId2" Type="http://schemas.openxmlformats.org/officeDocument/2006/relationships/image" Target="../media/image3.png"/><Relationship Id="rId1" Type="http://schemas.openxmlformats.org/officeDocument/2006/relationships/hyperlink" Target="#&#1052;&#1077;&#1085;&#1102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n/the-button-button-icon-web-pages-859346/" TargetMode="External"/><Relationship Id="rId2" Type="http://schemas.openxmlformats.org/officeDocument/2006/relationships/image" Target="../media/image3.png"/><Relationship Id="rId1" Type="http://schemas.openxmlformats.org/officeDocument/2006/relationships/hyperlink" Target="#&#1052;&#1077;&#1085;&#1102;!A1"/><Relationship Id="rId4" Type="http://schemas.openxmlformats.org/officeDocument/2006/relationships/hyperlink" Target="#&#1060;&#1086;&#1088;&#1084;&#1072;_&#1076;_&#1079;&#1072;&#1082;.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266700</xdr:rowOff>
        </xdr:from>
        <xdr:to>
          <xdr:col>3</xdr:col>
          <xdr:colOff>1819275</xdr:colOff>
          <xdr:row>3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3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ПРАЙС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266700</xdr:rowOff>
        </xdr:from>
        <xdr:to>
          <xdr:col>4</xdr:col>
          <xdr:colOff>1828800</xdr:colOff>
          <xdr:row>3</xdr:row>
          <xdr:rowOff>304800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3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НОВЫЙ ЗАКАЗ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266700</xdr:rowOff>
        </xdr:from>
        <xdr:to>
          <xdr:col>5</xdr:col>
          <xdr:colOff>1828800</xdr:colOff>
          <xdr:row>3</xdr:row>
          <xdr:rowOff>304800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3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ВСЕ ЗАКАЗЫ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38100</xdr:colOff>
      <xdr:row>0</xdr:row>
      <xdr:rowOff>180975</xdr:rowOff>
    </xdr:from>
    <xdr:to>
      <xdr:col>5</xdr:col>
      <xdr:colOff>0</xdr:colOff>
      <xdr:row>2</xdr:row>
      <xdr:rowOff>38100</xdr:rowOff>
    </xdr:to>
    <xdr:sp macro="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80975"/>
          <a:ext cx="1828800" cy="419100"/>
        </a:xfrm>
        <a:prstGeom prst="round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rcRect/>
          <a:stretch>
            <a:fillRect/>
          </a:stretch>
        </a:blipFill>
        <a:ln>
          <a:noFill/>
        </a:ln>
        <a:effectLst>
          <a:outerShdw blurRad="50800" dist="38100" dir="2700000" algn="tl" rotWithShape="0">
            <a:schemeClr val="tx1"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200" b="1">
              <a:latin typeface="+mj-lt"/>
            </a:rPr>
            <a:t>МЕНЮ</a:t>
          </a:r>
        </a:p>
      </xdr:txBody>
    </xdr:sp>
    <xdr:clientData/>
  </xdr:twoCellAnchor>
  <xdr:twoCellAnchor editAs="oneCell">
    <xdr:from>
      <xdr:col>2</xdr:col>
      <xdr:colOff>76201</xdr:colOff>
      <xdr:row>1</xdr:row>
      <xdr:rowOff>52661</xdr:rowOff>
    </xdr:from>
    <xdr:to>
      <xdr:col>3</xdr:col>
      <xdr:colOff>1171577</xdr:colOff>
      <xdr:row>1</xdr:row>
      <xdr:rowOff>354665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contrast="20000"/>
                  </a14:imgEffect>
                </a14:imgLayer>
              </a14:imgProps>
            </a:ext>
          </a:extLst>
        </a:blip>
        <a:srcRect t="38452" b="38452"/>
        <a:stretch/>
      </xdr:blipFill>
      <xdr:spPr>
        <a:xfrm>
          <a:off x="685801" y="243161"/>
          <a:ext cx="1304926" cy="302004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19048</xdr:rowOff>
    </xdr:from>
    <xdr:to>
      <xdr:col>1</xdr:col>
      <xdr:colOff>542925</xdr:colOff>
      <xdr:row>0</xdr:row>
      <xdr:rowOff>323849</xdr:rowOff>
    </xdr:to>
    <xdr:sp macro="" textlink="">
      <xdr:nvSpPr>
        <xdr:cNvPr id="2" name="Прямоугольник: скругленные углы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8625" y="19048"/>
          <a:ext cx="847725" cy="304801"/>
        </a:xfrm>
        <a:prstGeom prst="roundRect">
          <a:avLst/>
        </a:prstGeom>
        <a:blipFill dpi="0" rotWithShape="1">
          <a:blip xmlns:r="http://schemas.openxmlformats.org/officeDocument/2006/relationships" r:embed="rId2">
            <a:extLst>
              <a:ext uri="{837473B0-CC2E-450A-ABE3-18F120FF3D39}">
                <a1611:picAttrSrcUrl xmlns:a1611="http://schemas.microsoft.com/office/drawing/2016/11/main" r:id="rId3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0"/>
            <a:t>Меню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15</xdr:row>
          <xdr:rowOff>0</xdr:rowOff>
        </xdr:from>
        <xdr:to>
          <xdr:col>2</xdr:col>
          <xdr:colOff>2400300</xdr:colOff>
          <xdr:row>16</xdr:row>
          <xdr:rowOff>133350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85725</xdr:colOff>
      <xdr:row>0</xdr:row>
      <xdr:rowOff>28575</xdr:rowOff>
    </xdr:from>
    <xdr:to>
      <xdr:col>1</xdr:col>
      <xdr:colOff>933450</xdr:colOff>
      <xdr:row>0</xdr:row>
      <xdr:rowOff>333376</xdr:rowOff>
    </xdr:to>
    <xdr:sp macro="" textlink="">
      <xdr:nvSpPr>
        <xdr:cNvPr id="4" name="Прямоугольник: скругленные углы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5725" y="28575"/>
          <a:ext cx="847725" cy="304801"/>
        </a:xfrm>
        <a:prstGeom prst="roundRect">
          <a:avLst/>
        </a:prstGeom>
        <a:blipFill dpi="0" rotWithShape="1">
          <a:blip xmlns:r="http://schemas.openxmlformats.org/officeDocument/2006/relationships" r:embed="rId2">
            <a:extLst>
              <a:ext uri="{837473B0-CC2E-450A-ABE3-18F120FF3D39}">
                <a1611:picAttrSrcUrl xmlns:a1611="http://schemas.microsoft.com/office/drawing/2016/11/main" r:id="rId3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0"/>
            <a:t>Меню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12</xdr:row>
          <xdr:rowOff>142875</xdr:rowOff>
        </xdr:from>
        <xdr:to>
          <xdr:col>1</xdr:col>
          <xdr:colOff>2514600</xdr:colOff>
          <xdr:row>14</xdr:row>
          <xdr:rowOff>85725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2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Перейти ко всем заказам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12</xdr:row>
          <xdr:rowOff>142875</xdr:rowOff>
        </xdr:from>
        <xdr:to>
          <xdr:col>2</xdr:col>
          <xdr:colOff>2400300</xdr:colOff>
          <xdr:row>14</xdr:row>
          <xdr:rowOff>85725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Произвести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28575</xdr:rowOff>
    </xdr:from>
    <xdr:to>
      <xdr:col>1</xdr:col>
      <xdr:colOff>333375</xdr:colOff>
      <xdr:row>0</xdr:row>
      <xdr:rowOff>333376</xdr:rowOff>
    </xdr:to>
    <xdr:sp macro="" textlink="">
      <xdr:nvSpPr>
        <xdr:cNvPr id="2" name="Прямоугольник: скругленные углы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6200" y="28575"/>
          <a:ext cx="847725" cy="304801"/>
        </a:xfrm>
        <a:prstGeom prst="roundRect">
          <a:avLst/>
        </a:prstGeom>
        <a:blipFill dpi="0" rotWithShape="1">
          <a:blip xmlns:r="http://schemas.openxmlformats.org/officeDocument/2006/relationships" r:embed="rId2">
            <a:extLst>
              <a:ext uri="{837473B0-CC2E-450A-ABE3-18F120FF3D39}">
                <a1611:picAttrSrcUrl xmlns:a1611="http://schemas.microsoft.com/office/drawing/2016/11/main" r:id="rId3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0"/>
            <a:t>Меню</a:t>
          </a:r>
        </a:p>
      </xdr:txBody>
    </xdr:sp>
    <xdr:clientData/>
  </xdr:twoCellAnchor>
  <xdr:twoCellAnchor>
    <xdr:from>
      <xdr:col>1</xdr:col>
      <xdr:colOff>390526</xdr:colOff>
      <xdr:row>0</xdr:row>
      <xdr:rowOff>28575</xdr:rowOff>
    </xdr:from>
    <xdr:to>
      <xdr:col>1</xdr:col>
      <xdr:colOff>1438276</xdr:colOff>
      <xdr:row>0</xdr:row>
      <xdr:rowOff>333376</xdr:rowOff>
    </xdr:to>
    <xdr:sp macro="" textlink="">
      <xdr:nvSpPr>
        <xdr:cNvPr id="3" name="Прямоугольник: скругленные углы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81076" y="28575"/>
          <a:ext cx="1047750" cy="304801"/>
        </a:xfrm>
        <a:prstGeom prst="roundRect">
          <a:avLst/>
        </a:prstGeom>
        <a:blipFill dpi="0" rotWithShape="1">
          <a:blip xmlns:r="http://schemas.openxmlformats.org/officeDocument/2006/relationships" r:embed="rId2">
            <a:extLst>
              <a:ext uri="{837473B0-CC2E-450A-ABE3-18F120FF3D39}">
                <a1611:picAttrSrcUrl xmlns:a1611="http://schemas.microsoft.com/office/drawing/2016/11/main" r:id="rId3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0"/>
            <a:t>Новый</a:t>
          </a:r>
          <a:r>
            <a:rPr lang="ru-RU" sz="1200" b="0" baseline="0"/>
            <a:t> заказ</a:t>
          </a:r>
          <a:endParaRPr lang="ru-RU" sz="1200" b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FA2E3C-4FBD-4DCD-B6E8-60CD1BD18833}" name="Таблица1" displayName="Таблица1" ref="A2:Q21" totalsRowShown="0" headerRowDxfId="3" dataDxfId="20" headerRowBorderDxfId="23" tableBorderDxfId="22" totalsRowBorderDxfId="21">
  <tableColumns count="17">
    <tableColumn id="1" xr3:uid="{05061248-8331-4E17-9AE7-72E60D970024}" name="№ п/п" dataDxfId="19">
      <calculatedColumnFormula>IF(ISBLANK(B3), "", COUNTA($B$3:B3))</calculatedColumnFormula>
    </tableColumn>
    <tableColumn id="2" xr3:uid="{B9511B86-3D2A-4527-BD08-7F2B0EC9E513}" name="Название организации / ФИО заказчика" dataDxfId="18"/>
    <tableColumn id="3" xr3:uid="{8B92934C-FC15-4CC6-A864-8CFC23520C07}" name="Номер телефона заказчика" dataDxfId="17"/>
    <tableColumn id="4" xr3:uid="{22E10B9B-BD16-48E9-A808-1D3B84E6544E}" name="Дата заказа" dataDxfId="16"/>
    <tableColumn id="5" xr3:uid="{57436886-0394-49D3-B863-71662A693C9B}" name="Время заказа" dataDxfId="15"/>
    <tableColumn id="6" xr3:uid="{8812BE9F-174A-44C5-9608-C2772E4EB333}" name="Тип документа" dataDxfId="14"/>
    <tableColumn id="7" xr3:uid="{8703D43C-0C4D-4605-B844-53AF9FB6A8E4}" name="Тип печати" dataDxfId="13"/>
    <tableColumn id="8" xr3:uid="{9EA02387-287C-476D-B8C5-6FE0EEBD2B57}" name="Формат бумаги" dataDxfId="12"/>
    <tableColumn id="9" xr3:uid="{C98C0D80-939D-4AFC-B34A-3EF69DA57C9F}" name="Тип бумаги" dataDxfId="11"/>
    <tableColumn id="11" xr3:uid="{4AABFD28-E896-4243-B65A-6AD628383DC5}" name="Количество копий" dataDxfId="10"/>
    <tableColumn id="13" xr3:uid="{226ED62C-6A04-4E54-8F38-55B3575616E5}" name="Выполнен" dataDxfId="9"/>
    <tableColumn id="12" xr3:uid="{2A84C953-22EB-475D-BC86-E654E2ADC197}" name="Дата выполнения" dataDxfId="8">
      <calculatedColumnFormula>IF(Таблица1[[#This Row],[Выполнен]]="Да",TODAY(),"")</calculatedColumnFormula>
    </tableColumn>
    <tableColumn id="10" xr3:uid="{C43C4898-A742-4492-A3D4-D5DA5F97CA25}" name="Стоимость заказа" dataDxfId="7"/>
    <tableColumn id="15" xr3:uid="{9E7B9F29-069C-4EC1-9032-DAF2A7334D8A}" name="Оплачен" dataDxfId="6"/>
    <tableColumn id="16" xr3:uid="{1916031E-2F54-4C8F-A46B-E27ADD84884C}" name="Доставка" dataDxfId="5"/>
    <tableColumn id="17" xr3:uid="{3BA8D3B3-F510-4376-AAC6-EF700E071B27}" name="Стоимость доставки" dataDxfId="4"/>
    <tableColumn id="14" xr3:uid="{9362CB13-AEE3-48BD-8ED2-8D31241D5141}" name="Примечание" dataDxfId="2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25AE2-C417-453F-B9B1-2566E1D929E5}">
  <sheetPr codeName="Menu">
    <tabColor rgb="FF16A6FE"/>
  </sheetPr>
  <dimension ref="A1:Q31"/>
  <sheetViews>
    <sheetView tabSelected="1" topLeftCell="B1" zoomScale="140" zoomScaleNormal="140" workbookViewId="0">
      <selection activeCell="F7" sqref="F7"/>
    </sheetView>
  </sheetViews>
  <sheetFormatPr defaultColWidth="0" defaultRowHeight="15" zeroHeight="1" x14ac:dyDescent="0.25"/>
  <cols>
    <col min="1" max="1" width="9.140625" style="17" hidden="1" customWidth="1"/>
    <col min="2" max="2" width="7.140625" style="17" customWidth="1"/>
    <col min="3" max="3" width="3.140625" customWidth="1"/>
    <col min="4" max="6" width="28" customWidth="1"/>
    <col min="7" max="7" width="3.140625" customWidth="1"/>
    <col min="8" max="8" width="7.140625" style="17" customWidth="1"/>
    <col min="9" max="17" width="9.140625" style="17" customWidth="1"/>
    <col min="18" max="16384" width="9.140625" hidden="1"/>
  </cols>
  <sheetData>
    <row r="1" spans="3:7" s="17" customFormat="1" x14ac:dyDescent="0.25"/>
    <row r="2" spans="3:7" ht="33" customHeight="1" x14ac:dyDescent="0.25">
      <c r="C2" s="48"/>
      <c r="D2" s="48"/>
      <c r="E2" s="48"/>
      <c r="F2" s="48"/>
      <c r="G2" s="48"/>
    </row>
    <row r="3" spans="3:7" ht="47.25" customHeight="1" x14ac:dyDescent="0.25">
      <c r="C3" s="16"/>
      <c r="D3" s="49"/>
      <c r="E3" s="49"/>
      <c r="F3" s="49"/>
      <c r="G3" s="16"/>
    </row>
    <row r="4" spans="3:7" ht="47.25" customHeight="1" x14ac:dyDescent="0.25">
      <c r="C4" s="18"/>
      <c r="D4" s="50"/>
      <c r="E4" s="50"/>
      <c r="F4" s="50"/>
      <c r="G4" s="18"/>
    </row>
    <row r="5" spans="3:7" s="17" customFormat="1" x14ac:dyDescent="0.25"/>
    <row r="6" spans="3:7" s="17" customFormat="1" x14ac:dyDescent="0.25"/>
    <row r="7" spans="3:7" s="17" customFormat="1" x14ac:dyDescent="0.25"/>
    <row r="8" spans="3:7" s="17" customFormat="1" x14ac:dyDescent="0.25"/>
    <row r="9" spans="3:7" s="17" customFormat="1" x14ac:dyDescent="0.25"/>
    <row r="10" spans="3:7" s="17" customFormat="1" x14ac:dyDescent="0.25"/>
    <row r="11" spans="3:7" s="17" customFormat="1" x14ac:dyDescent="0.25"/>
    <row r="12" spans="3:7" s="17" customFormat="1" x14ac:dyDescent="0.25"/>
    <row r="13" spans="3:7" s="17" customFormat="1" x14ac:dyDescent="0.25"/>
    <row r="14" spans="3:7" s="17" customFormat="1" x14ac:dyDescent="0.25"/>
    <row r="15" spans="3:7" s="17" customFormat="1" x14ac:dyDescent="0.25"/>
    <row r="16" spans="3:7" s="17" customFormat="1" x14ac:dyDescent="0.25"/>
    <row r="17" s="17" customFormat="1" x14ac:dyDescent="0.25"/>
    <row r="18" s="17" customFormat="1" x14ac:dyDescent="0.25"/>
    <row r="19" s="17" customFormat="1" x14ac:dyDescent="0.25"/>
    <row r="20" s="17" customFormat="1" x14ac:dyDescent="0.25"/>
    <row r="21" s="17" customFormat="1" x14ac:dyDescent="0.25"/>
    <row r="22" s="17" customFormat="1" x14ac:dyDescent="0.25"/>
    <row r="23" s="17" customFormat="1" x14ac:dyDescent="0.25"/>
    <row r="24" s="17" customFormat="1" x14ac:dyDescent="0.25"/>
    <row r="25" s="17" customFormat="1" x14ac:dyDescent="0.25"/>
    <row r="26" s="17" customFormat="1" x14ac:dyDescent="0.25"/>
    <row r="27" s="17" customFormat="1" x14ac:dyDescent="0.25"/>
    <row r="28" s="17" customFormat="1" x14ac:dyDescent="0.25"/>
    <row r="29" s="17" customFormat="1" x14ac:dyDescent="0.25"/>
    <row r="30" s="17" customFormat="1" x14ac:dyDescent="0.25"/>
    <row r="31" s="17" customFormat="1" x14ac:dyDescent="0.25"/>
  </sheetData>
  <sheetProtection algorithmName="SHA-512" hashValue="xuRDP4x25DAjjHC8rM2JxK55WzVpvdGzXgTCww3sd8Qtt0JkLmO81rzzKLKMrlGp4f/gzexBIlrcsBdAhb33OA==" saltValue="vvLUPCMLHnBomkrAweGtyQ==" spinCount="100000" sheet="1" objects="1" scenarios="1" selectLockedCells="1"/>
  <mergeCells count="4">
    <mergeCell ref="C2:G2"/>
    <mergeCell ref="D3:D4"/>
    <mergeCell ref="E3:E4"/>
    <mergeCell ref="F3:F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ToPriceList">
                <anchor moveWithCells="1" sizeWithCells="1">
                  <from>
                    <xdr:col>3</xdr:col>
                    <xdr:colOff>28575</xdr:colOff>
                    <xdr:row>2</xdr:row>
                    <xdr:rowOff>266700</xdr:rowOff>
                  </from>
                  <to>
                    <xdr:col>3</xdr:col>
                    <xdr:colOff>1819275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oToForm">
                <anchor moveWithCells="1" sizeWithCells="1">
                  <from>
                    <xdr:col>4</xdr:col>
                    <xdr:colOff>38100</xdr:colOff>
                    <xdr:row>2</xdr:row>
                    <xdr:rowOff>266700</xdr:rowOff>
                  </from>
                  <to>
                    <xdr:col>4</xdr:col>
                    <xdr:colOff>1828800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oToAllOrders">
                <anchor moveWithCells="1" sizeWithCells="1">
                  <from>
                    <xdr:col>5</xdr:col>
                    <xdr:colOff>38100</xdr:colOff>
                    <xdr:row>2</xdr:row>
                    <xdr:rowOff>266700</xdr:rowOff>
                  </from>
                  <to>
                    <xdr:col>5</xdr:col>
                    <xdr:colOff>1828800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2918-0CE0-42E8-A961-B7E9803CC5D0}">
  <sheetPr codeName="Price">
    <tabColor rgb="FF0070C0"/>
  </sheetPr>
  <dimension ref="A1:AA26"/>
  <sheetViews>
    <sheetView zoomScale="73" zoomScaleNormal="73" workbookViewId="0">
      <selection activeCell="L39" sqref="L39"/>
    </sheetView>
  </sheetViews>
  <sheetFormatPr defaultRowHeight="15" x14ac:dyDescent="0.25"/>
  <cols>
    <col min="1" max="1" width="5.85546875" customWidth="1"/>
    <col min="2" max="2" width="11.28515625" style="23" customWidth="1"/>
    <col min="3" max="3" width="11.85546875" style="34" customWidth="1"/>
    <col min="4" max="4" width="9.85546875" style="23" customWidth="1"/>
    <col min="5" max="5" width="5.85546875" customWidth="1"/>
    <col min="6" max="6" width="10.5703125" style="23" bestFit="1" customWidth="1"/>
    <col min="7" max="7" width="11.85546875" style="34" customWidth="1"/>
    <col min="8" max="8" width="9.85546875" style="23" customWidth="1"/>
    <col min="10" max="10" width="5.85546875" customWidth="1"/>
    <col min="11" max="11" width="11.28515625" style="23" customWidth="1"/>
    <col min="12" max="12" width="11.85546875" style="23" customWidth="1"/>
    <col min="13" max="13" width="9.85546875" style="23" customWidth="1"/>
    <col min="14" max="14" width="10.28515625" customWidth="1"/>
    <col min="15" max="15" width="5.85546875" customWidth="1"/>
    <col min="16" max="16" width="11.28515625" style="23" customWidth="1"/>
    <col min="17" max="17" width="11.85546875" style="23" customWidth="1"/>
    <col min="18" max="18" width="9.85546875" style="23" customWidth="1"/>
    <col min="19" max="19" width="5.85546875" customWidth="1"/>
    <col min="20" max="20" width="10.5703125" style="23" bestFit="1" customWidth="1"/>
    <col min="21" max="21" width="11.85546875" style="23" customWidth="1"/>
    <col min="22" max="22" width="9.85546875" style="23" customWidth="1"/>
  </cols>
  <sheetData>
    <row r="1" spans="1:27" ht="26.25" customHeight="1" thickBot="1" x14ac:dyDescent="0.3">
      <c r="A1" s="71" t="s">
        <v>26</v>
      </c>
      <c r="B1" s="63"/>
      <c r="C1" s="63"/>
      <c r="D1" s="63"/>
      <c r="E1" s="63"/>
      <c r="F1" s="63"/>
      <c r="G1" s="63"/>
      <c r="H1" s="63"/>
      <c r="I1" s="15" t="s">
        <v>53</v>
      </c>
      <c r="J1" s="63" t="s">
        <v>27</v>
      </c>
      <c r="K1" s="63"/>
      <c r="L1" s="63"/>
      <c r="M1" s="63"/>
      <c r="N1" s="15" t="s">
        <v>53</v>
      </c>
      <c r="O1" s="63" t="s">
        <v>50</v>
      </c>
      <c r="P1" s="63"/>
      <c r="Q1" s="63"/>
      <c r="R1" s="63"/>
      <c r="S1" s="63"/>
      <c r="T1" s="63"/>
      <c r="U1" s="63"/>
      <c r="V1" s="67"/>
      <c r="X1" s="74" t="s">
        <v>56</v>
      </c>
      <c r="Y1" s="75"/>
      <c r="Z1" s="75"/>
      <c r="AA1" s="76"/>
    </row>
    <row r="2" spans="1:27" s="5" customFormat="1" ht="15.75" customHeight="1" thickBot="1" x14ac:dyDescent="0.3">
      <c r="A2" s="64" t="s">
        <v>47</v>
      </c>
      <c r="B2" s="10" t="s">
        <v>49</v>
      </c>
      <c r="C2" s="11" t="s">
        <v>5</v>
      </c>
      <c r="D2" s="7" t="s">
        <v>52</v>
      </c>
      <c r="E2" s="68" t="s">
        <v>48</v>
      </c>
      <c r="F2" s="6" t="s">
        <v>49</v>
      </c>
      <c r="G2" s="12" t="s">
        <v>5</v>
      </c>
      <c r="H2" s="13" t="s">
        <v>52</v>
      </c>
      <c r="I2" s="4"/>
      <c r="J2" s="64" t="s">
        <v>15</v>
      </c>
      <c r="K2" s="10" t="s">
        <v>49</v>
      </c>
      <c r="L2" s="11" t="s">
        <v>5</v>
      </c>
      <c r="M2" s="7" t="s">
        <v>52</v>
      </c>
      <c r="N2"/>
      <c r="O2" s="64" t="s">
        <v>15</v>
      </c>
      <c r="P2" s="10" t="s">
        <v>49</v>
      </c>
      <c r="Q2" s="11" t="s">
        <v>5</v>
      </c>
      <c r="R2" s="7" t="s">
        <v>52</v>
      </c>
      <c r="S2" s="68" t="s">
        <v>16</v>
      </c>
      <c r="T2" s="6" t="s">
        <v>49</v>
      </c>
      <c r="U2" s="8" t="s">
        <v>5</v>
      </c>
      <c r="V2" s="9" t="s">
        <v>52</v>
      </c>
      <c r="X2" s="77"/>
      <c r="Y2" s="78"/>
      <c r="Z2" s="78"/>
      <c r="AA2" s="79"/>
    </row>
    <row r="3" spans="1:27" ht="15.75" customHeight="1" thickBot="1" x14ac:dyDescent="0.3">
      <c r="A3" s="65"/>
      <c r="B3" s="58" t="s">
        <v>18</v>
      </c>
      <c r="C3" s="24" t="s">
        <v>31</v>
      </c>
      <c r="D3" s="25">
        <v>100</v>
      </c>
      <c r="E3" s="69"/>
      <c r="F3" s="58" t="s">
        <v>18</v>
      </c>
      <c r="G3" s="24" t="s">
        <v>31</v>
      </c>
      <c r="H3" s="35">
        <v>105</v>
      </c>
      <c r="J3" s="65"/>
      <c r="K3" s="58" t="s">
        <v>18</v>
      </c>
      <c r="L3" s="54" t="s">
        <v>31</v>
      </c>
      <c r="M3" s="51">
        <v>5</v>
      </c>
      <c r="O3" s="65"/>
      <c r="P3" s="58" t="s">
        <v>18</v>
      </c>
      <c r="Q3" s="54" t="s">
        <v>31</v>
      </c>
      <c r="R3" s="51">
        <v>15</v>
      </c>
      <c r="S3" s="69"/>
      <c r="T3" s="58" t="s">
        <v>18</v>
      </c>
      <c r="U3" s="54" t="s">
        <v>31</v>
      </c>
      <c r="V3" s="51">
        <v>18</v>
      </c>
      <c r="W3" s="3"/>
      <c r="X3" s="80" t="s">
        <v>62</v>
      </c>
      <c r="Y3" s="81"/>
      <c r="Z3" s="82" t="s">
        <v>61</v>
      </c>
      <c r="AA3" s="83"/>
    </row>
    <row r="4" spans="1:27" ht="16.5" customHeight="1" x14ac:dyDescent="0.25">
      <c r="A4" s="65"/>
      <c r="B4" s="59"/>
      <c r="C4" s="26" t="s">
        <v>30</v>
      </c>
      <c r="D4" s="27">
        <v>115</v>
      </c>
      <c r="E4" s="69"/>
      <c r="F4" s="59"/>
      <c r="G4" s="26" t="s">
        <v>30</v>
      </c>
      <c r="H4" s="36">
        <v>120</v>
      </c>
      <c r="J4" s="65"/>
      <c r="K4" s="59"/>
      <c r="L4" s="55"/>
      <c r="M4" s="52"/>
      <c r="O4" s="65"/>
      <c r="P4" s="59"/>
      <c r="Q4" s="55"/>
      <c r="R4" s="52"/>
      <c r="S4" s="69"/>
      <c r="T4" s="59"/>
      <c r="U4" s="55"/>
      <c r="V4" s="52"/>
      <c r="W4" s="3"/>
      <c r="X4" s="84">
        <v>1</v>
      </c>
      <c r="Y4" s="85"/>
      <c r="Z4" s="86">
        <v>50</v>
      </c>
      <c r="AA4" s="87"/>
    </row>
    <row r="5" spans="1:27" ht="16.5" customHeight="1" x14ac:dyDescent="0.25">
      <c r="A5" s="65"/>
      <c r="B5" s="60"/>
      <c r="C5" s="28" t="s">
        <v>29</v>
      </c>
      <c r="D5" s="29">
        <v>120</v>
      </c>
      <c r="E5" s="69"/>
      <c r="F5" s="60"/>
      <c r="G5" s="28" t="s">
        <v>29</v>
      </c>
      <c r="H5" s="37">
        <v>125</v>
      </c>
      <c r="J5" s="65"/>
      <c r="K5" s="60"/>
      <c r="L5" s="56"/>
      <c r="M5" s="53"/>
      <c r="O5" s="65"/>
      <c r="P5" s="60"/>
      <c r="Q5" s="56"/>
      <c r="R5" s="53"/>
      <c r="S5" s="69"/>
      <c r="T5" s="60"/>
      <c r="U5" s="56"/>
      <c r="V5" s="53"/>
      <c r="W5" s="3"/>
      <c r="X5" s="72" t="s">
        <v>63</v>
      </c>
      <c r="Y5" s="72"/>
      <c r="Z5" s="72"/>
      <c r="AA5" s="72"/>
    </row>
    <row r="6" spans="1:27" ht="16.5" customHeight="1" x14ac:dyDescent="0.25">
      <c r="A6" s="65"/>
      <c r="B6" s="62" t="s">
        <v>19</v>
      </c>
      <c r="C6" s="30" t="s">
        <v>31</v>
      </c>
      <c r="D6" s="31">
        <v>90</v>
      </c>
      <c r="E6" s="69"/>
      <c r="F6" s="62" t="s">
        <v>19</v>
      </c>
      <c r="G6" s="30" t="s">
        <v>31</v>
      </c>
      <c r="H6" s="38">
        <v>95</v>
      </c>
      <c r="J6" s="65"/>
      <c r="K6" s="62" t="s">
        <v>19</v>
      </c>
      <c r="L6" s="61" t="s">
        <v>31</v>
      </c>
      <c r="M6" s="57">
        <v>4</v>
      </c>
      <c r="O6" s="65"/>
      <c r="P6" s="62" t="s">
        <v>19</v>
      </c>
      <c r="Q6" s="61" t="s">
        <v>31</v>
      </c>
      <c r="R6" s="57">
        <v>12</v>
      </c>
      <c r="S6" s="69"/>
      <c r="T6" s="62" t="s">
        <v>19</v>
      </c>
      <c r="U6" s="61" t="s">
        <v>31</v>
      </c>
      <c r="V6" s="57">
        <v>15</v>
      </c>
      <c r="W6" s="3"/>
      <c r="X6" s="73"/>
      <c r="Y6" s="73"/>
      <c r="Z6" s="73"/>
      <c r="AA6" s="73"/>
    </row>
    <row r="7" spans="1:27" ht="16.5" customHeight="1" x14ac:dyDescent="0.25">
      <c r="A7" s="65"/>
      <c r="B7" s="59"/>
      <c r="C7" s="26" t="s">
        <v>30</v>
      </c>
      <c r="D7" s="27">
        <v>105</v>
      </c>
      <c r="E7" s="69"/>
      <c r="F7" s="59"/>
      <c r="G7" s="26" t="s">
        <v>30</v>
      </c>
      <c r="H7" s="36">
        <v>110</v>
      </c>
      <c r="J7" s="65"/>
      <c r="K7" s="59"/>
      <c r="L7" s="55"/>
      <c r="M7" s="52"/>
      <c r="O7" s="65"/>
      <c r="P7" s="59"/>
      <c r="Q7" s="55"/>
      <c r="R7" s="52"/>
      <c r="S7" s="69"/>
      <c r="T7" s="59"/>
      <c r="U7" s="55"/>
      <c r="V7" s="52"/>
      <c r="W7" s="3"/>
    </row>
    <row r="8" spans="1:27" ht="16.5" customHeight="1" x14ac:dyDescent="0.25">
      <c r="A8" s="65"/>
      <c r="B8" s="60"/>
      <c r="C8" s="28" t="s">
        <v>29</v>
      </c>
      <c r="D8" s="29">
        <v>110</v>
      </c>
      <c r="E8" s="69"/>
      <c r="F8" s="60"/>
      <c r="G8" s="28" t="s">
        <v>29</v>
      </c>
      <c r="H8" s="37">
        <v>115</v>
      </c>
      <c r="J8" s="65"/>
      <c r="K8" s="60"/>
      <c r="L8" s="56"/>
      <c r="M8" s="53"/>
      <c r="O8" s="65"/>
      <c r="P8" s="60"/>
      <c r="Q8" s="56"/>
      <c r="R8" s="53"/>
      <c r="S8" s="69"/>
      <c r="T8" s="60"/>
      <c r="U8" s="56"/>
      <c r="V8" s="53"/>
      <c r="W8" s="3"/>
    </row>
    <row r="9" spans="1:27" ht="15.75" x14ac:dyDescent="0.25">
      <c r="A9" s="65"/>
      <c r="B9" s="62" t="s">
        <v>20</v>
      </c>
      <c r="C9" s="30" t="s">
        <v>31</v>
      </c>
      <c r="D9" s="31">
        <v>95</v>
      </c>
      <c r="E9" s="69"/>
      <c r="F9" s="62" t="s">
        <v>20</v>
      </c>
      <c r="G9" s="30" t="s">
        <v>31</v>
      </c>
      <c r="H9" s="38">
        <v>100</v>
      </c>
      <c r="J9" s="65"/>
      <c r="K9" s="62" t="s">
        <v>20</v>
      </c>
      <c r="L9" s="61" t="s">
        <v>31</v>
      </c>
      <c r="M9" s="57">
        <v>10</v>
      </c>
      <c r="O9" s="65"/>
      <c r="P9" s="62" t="s">
        <v>20</v>
      </c>
      <c r="Q9" s="61" t="s">
        <v>31</v>
      </c>
      <c r="R9" s="57">
        <v>18</v>
      </c>
      <c r="S9" s="69"/>
      <c r="T9" s="62" t="s">
        <v>20</v>
      </c>
      <c r="U9" s="61" t="s">
        <v>31</v>
      </c>
      <c r="V9" s="57">
        <v>20</v>
      </c>
      <c r="W9" s="3"/>
    </row>
    <row r="10" spans="1:27" ht="15.75" x14ac:dyDescent="0.25">
      <c r="A10" s="65"/>
      <c r="B10" s="59"/>
      <c r="C10" s="26" t="s">
        <v>30</v>
      </c>
      <c r="D10" s="27">
        <v>110</v>
      </c>
      <c r="E10" s="69"/>
      <c r="F10" s="59"/>
      <c r="G10" s="26" t="s">
        <v>30</v>
      </c>
      <c r="H10" s="36">
        <v>115</v>
      </c>
      <c r="J10" s="65"/>
      <c r="K10" s="59"/>
      <c r="L10" s="55"/>
      <c r="M10" s="52"/>
      <c r="O10" s="65"/>
      <c r="P10" s="59"/>
      <c r="Q10" s="55"/>
      <c r="R10" s="52"/>
      <c r="S10" s="69"/>
      <c r="T10" s="59"/>
      <c r="U10" s="55"/>
      <c r="V10" s="52"/>
      <c r="W10" s="3"/>
    </row>
    <row r="11" spans="1:27" ht="15.75" x14ac:dyDescent="0.25">
      <c r="A11" s="65"/>
      <c r="B11" s="60"/>
      <c r="C11" s="28" t="s">
        <v>29</v>
      </c>
      <c r="D11" s="29">
        <v>115</v>
      </c>
      <c r="E11" s="69"/>
      <c r="F11" s="60"/>
      <c r="G11" s="28" t="s">
        <v>29</v>
      </c>
      <c r="H11" s="37">
        <v>120</v>
      </c>
      <c r="J11" s="66"/>
      <c r="K11" s="60"/>
      <c r="L11" s="56"/>
      <c r="M11" s="53"/>
      <c r="O11" s="66"/>
      <c r="P11" s="60"/>
      <c r="Q11" s="56"/>
      <c r="R11" s="53"/>
      <c r="S11" s="70"/>
      <c r="T11" s="60"/>
      <c r="U11" s="56"/>
      <c r="V11" s="53"/>
      <c r="W11" s="3"/>
    </row>
    <row r="12" spans="1:27" ht="15.75" x14ac:dyDescent="0.25">
      <c r="A12" s="65"/>
      <c r="B12" s="62" t="s">
        <v>40</v>
      </c>
      <c r="C12" s="30" t="s">
        <v>31</v>
      </c>
      <c r="D12" s="31">
        <v>70</v>
      </c>
      <c r="E12" s="69"/>
      <c r="F12" s="62" t="s">
        <v>40</v>
      </c>
      <c r="G12" s="30" t="s">
        <v>31</v>
      </c>
      <c r="H12" s="38">
        <v>75</v>
      </c>
      <c r="M12" s="39"/>
    </row>
    <row r="13" spans="1:27" ht="15.75" x14ac:dyDescent="0.25">
      <c r="A13" s="65"/>
      <c r="B13" s="59"/>
      <c r="C13" s="26" t="s">
        <v>30</v>
      </c>
      <c r="D13" s="32">
        <v>80</v>
      </c>
      <c r="E13" s="69"/>
      <c r="F13" s="59"/>
      <c r="G13" s="26" t="s">
        <v>30</v>
      </c>
      <c r="H13" s="36">
        <v>85</v>
      </c>
      <c r="J13" s="22"/>
      <c r="K13" s="40"/>
      <c r="L13" s="40"/>
      <c r="M13" s="40"/>
    </row>
    <row r="14" spans="1:27" ht="18.75" customHeight="1" x14ac:dyDescent="0.25">
      <c r="A14" s="65"/>
      <c r="B14" s="60"/>
      <c r="C14" s="28" t="s">
        <v>29</v>
      </c>
      <c r="D14" s="33">
        <v>90</v>
      </c>
      <c r="E14" s="69"/>
      <c r="F14" s="60"/>
      <c r="G14" s="28" t="s">
        <v>29</v>
      </c>
      <c r="H14" s="37">
        <v>95</v>
      </c>
      <c r="I14" s="3"/>
      <c r="J14" s="22"/>
      <c r="K14" s="40"/>
      <c r="L14" s="40"/>
      <c r="M14" s="40"/>
    </row>
    <row r="15" spans="1:27" ht="18.75" customHeight="1" x14ac:dyDescent="0.25">
      <c r="A15" s="65"/>
      <c r="B15" s="62" t="s">
        <v>41</v>
      </c>
      <c r="C15" s="30" t="s">
        <v>31</v>
      </c>
      <c r="D15" s="32">
        <v>75</v>
      </c>
      <c r="E15" s="69"/>
      <c r="F15" s="62" t="s">
        <v>41</v>
      </c>
      <c r="G15" s="30" t="s">
        <v>31</v>
      </c>
      <c r="H15" s="38">
        <v>80</v>
      </c>
      <c r="I15" s="3"/>
      <c r="J15" s="22"/>
      <c r="K15" s="40"/>
      <c r="L15" s="40"/>
      <c r="M15" s="40"/>
    </row>
    <row r="16" spans="1:27" ht="15.75" x14ac:dyDescent="0.25">
      <c r="A16" s="65"/>
      <c r="B16" s="59"/>
      <c r="C16" s="24" t="s">
        <v>30</v>
      </c>
      <c r="D16" s="27">
        <v>85</v>
      </c>
      <c r="E16" s="69"/>
      <c r="F16" s="59"/>
      <c r="G16" s="26" t="s">
        <v>30</v>
      </c>
      <c r="H16" s="36">
        <v>90</v>
      </c>
    </row>
    <row r="17" spans="1:11" ht="15.75" x14ac:dyDescent="0.25">
      <c r="A17" s="65"/>
      <c r="B17" s="60"/>
      <c r="C17" s="28" t="s">
        <v>29</v>
      </c>
      <c r="D17" s="29">
        <v>95</v>
      </c>
      <c r="E17" s="69"/>
      <c r="F17" s="60"/>
      <c r="G17" s="28" t="s">
        <v>29</v>
      </c>
      <c r="H17" s="37">
        <v>100</v>
      </c>
    </row>
    <row r="18" spans="1:11" ht="15.75" customHeight="1" x14ac:dyDescent="0.25">
      <c r="A18" s="65"/>
      <c r="B18" s="62" t="s">
        <v>42</v>
      </c>
      <c r="C18" s="30" t="s">
        <v>31</v>
      </c>
      <c r="D18" s="31">
        <v>80</v>
      </c>
      <c r="E18" s="69"/>
      <c r="F18" s="62" t="s">
        <v>42</v>
      </c>
      <c r="G18" s="30" t="s">
        <v>31</v>
      </c>
      <c r="H18" s="38">
        <v>85</v>
      </c>
    </row>
    <row r="19" spans="1:11" ht="15.75" x14ac:dyDescent="0.25">
      <c r="A19" s="65"/>
      <c r="B19" s="59"/>
      <c r="C19" s="26" t="s">
        <v>30</v>
      </c>
      <c r="D19" s="27">
        <v>90</v>
      </c>
      <c r="E19" s="69"/>
      <c r="F19" s="59"/>
      <c r="G19" s="26" t="s">
        <v>30</v>
      </c>
      <c r="H19" s="36">
        <v>95</v>
      </c>
    </row>
    <row r="20" spans="1:11" ht="16.5" customHeight="1" x14ac:dyDescent="0.25">
      <c r="A20" s="65"/>
      <c r="B20" s="60"/>
      <c r="C20" s="28" t="s">
        <v>29</v>
      </c>
      <c r="D20" s="29">
        <v>100</v>
      </c>
      <c r="E20" s="69"/>
      <c r="F20" s="60"/>
      <c r="G20" s="28" t="s">
        <v>29</v>
      </c>
      <c r="H20" s="37">
        <v>105</v>
      </c>
      <c r="K20" s="41"/>
    </row>
    <row r="21" spans="1:11" ht="15.75" x14ac:dyDescent="0.25">
      <c r="A21" s="65"/>
      <c r="B21" s="62" t="s">
        <v>43</v>
      </c>
      <c r="C21" s="30" t="s">
        <v>31</v>
      </c>
      <c r="D21" s="31">
        <v>90</v>
      </c>
      <c r="E21" s="69"/>
      <c r="F21" s="62" t="s">
        <v>43</v>
      </c>
      <c r="G21" s="30" t="s">
        <v>31</v>
      </c>
      <c r="H21" s="38">
        <v>95</v>
      </c>
    </row>
    <row r="22" spans="1:11" ht="15.75" x14ac:dyDescent="0.25">
      <c r="A22" s="65"/>
      <c r="B22" s="59"/>
      <c r="C22" s="26" t="s">
        <v>30</v>
      </c>
      <c r="D22" s="27">
        <v>100</v>
      </c>
      <c r="E22" s="69"/>
      <c r="F22" s="59"/>
      <c r="G22" s="26" t="s">
        <v>30</v>
      </c>
      <c r="H22" s="36">
        <v>105</v>
      </c>
    </row>
    <row r="23" spans="1:11" ht="15.75" x14ac:dyDescent="0.25">
      <c r="A23" s="65"/>
      <c r="B23" s="60"/>
      <c r="C23" s="28" t="s">
        <v>29</v>
      </c>
      <c r="D23" s="29">
        <v>110</v>
      </c>
      <c r="E23" s="69"/>
      <c r="F23" s="60"/>
      <c r="G23" s="28" t="s">
        <v>29</v>
      </c>
      <c r="H23" s="37">
        <v>115</v>
      </c>
    </row>
    <row r="24" spans="1:11" ht="15.75" x14ac:dyDescent="0.25">
      <c r="A24" s="65"/>
      <c r="B24" s="62" t="s">
        <v>44</v>
      </c>
      <c r="C24" s="30" t="s">
        <v>31</v>
      </c>
      <c r="D24" s="31">
        <v>95</v>
      </c>
      <c r="E24" s="69"/>
      <c r="F24" s="62" t="s">
        <v>44</v>
      </c>
      <c r="G24" s="30" t="s">
        <v>31</v>
      </c>
      <c r="H24" s="38">
        <v>100</v>
      </c>
    </row>
    <row r="25" spans="1:11" ht="15.75" x14ac:dyDescent="0.25">
      <c r="A25" s="65"/>
      <c r="B25" s="59"/>
      <c r="C25" s="26" t="s">
        <v>30</v>
      </c>
      <c r="D25" s="27">
        <v>105</v>
      </c>
      <c r="E25" s="69"/>
      <c r="F25" s="59"/>
      <c r="G25" s="26" t="s">
        <v>30</v>
      </c>
      <c r="H25" s="36">
        <v>110</v>
      </c>
    </row>
    <row r="26" spans="1:11" ht="15.75" x14ac:dyDescent="0.25">
      <c r="A26" s="66"/>
      <c r="B26" s="60"/>
      <c r="C26" s="28" t="s">
        <v>29</v>
      </c>
      <c r="D26" s="29">
        <v>115</v>
      </c>
      <c r="E26" s="70"/>
      <c r="F26" s="60"/>
      <c r="G26" s="28" t="s">
        <v>29</v>
      </c>
      <c r="H26" s="37">
        <v>120</v>
      </c>
    </row>
  </sheetData>
  <sheetProtection algorithmName="SHA-512" hashValue="UhUIkUtKD2WwLmNdmlEiNjGFwWbY4neuQO1RUYRQw1NRDggLpARhjHoaID369gpT7kFdsISfho8Ne4Gkt4QF2w==" saltValue="vbVFUQpwdgRA/VUcSnm2Lw==" spinCount="100000" sheet="1" objects="1" scenarios="1" selectLockedCells="1"/>
  <mergeCells count="57">
    <mergeCell ref="X5:AA6"/>
    <mergeCell ref="X1:AA2"/>
    <mergeCell ref="X3:Y3"/>
    <mergeCell ref="Z3:AA3"/>
    <mergeCell ref="X4:Y4"/>
    <mergeCell ref="Z4:AA4"/>
    <mergeCell ref="F24:F26"/>
    <mergeCell ref="A1:H1"/>
    <mergeCell ref="A2:A26"/>
    <mergeCell ref="E2:E26"/>
    <mergeCell ref="F3:F5"/>
    <mergeCell ref="F6:F8"/>
    <mergeCell ref="F9:F11"/>
    <mergeCell ref="F12:F14"/>
    <mergeCell ref="F15:F17"/>
    <mergeCell ref="B24:B26"/>
    <mergeCell ref="B9:B11"/>
    <mergeCell ref="B12:B14"/>
    <mergeCell ref="B15:B17"/>
    <mergeCell ref="B18:B20"/>
    <mergeCell ref="B21:B23"/>
    <mergeCell ref="B3:B5"/>
    <mergeCell ref="F18:F20"/>
    <mergeCell ref="F21:F23"/>
    <mergeCell ref="R9:R11"/>
    <mergeCell ref="P9:P11"/>
    <mergeCell ref="U9:U11"/>
    <mergeCell ref="O2:O11"/>
    <mergeCell ref="S2:S11"/>
    <mergeCell ref="Q3:Q5"/>
    <mergeCell ref="Q6:Q8"/>
    <mergeCell ref="R3:R5"/>
    <mergeCell ref="R6:R8"/>
    <mergeCell ref="Q9:Q11"/>
    <mergeCell ref="B6:B8"/>
    <mergeCell ref="T9:T11"/>
    <mergeCell ref="K9:K11"/>
    <mergeCell ref="J1:M1"/>
    <mergeCell ref="J2:J11"/>
    <mergeCell ref="L3:L5"/>
    <mergeCell ref="M3:M5"/>
    <mergeCell ref="L6:L8"/>
    <mergeCell ref="M6:M8"/>
    <mergeCell ref="L9:L11"/>
    <mergeCell ref="M9:M11"/>
    <mergeCell ref="K3:K5"/>
    <mergeCell ref="K6:K8"/>
    <mergeCell ref="O1:V1"/>
    <mergeCell ref="P3:P5"/>
    <mergeCell ref="P6:P8"/>
    <mergeCell ref="V3:V5"/>
    <mergeCell ref="U3:U5"/>
    <mergeCell ref="V9:V11"/>
    <mergeCell ref="V6:V8"/>
    <mergeCell ref="T3:T5"/>
    <mergeCell ref="U6:U8"/>
    <mergeCell ref="T6:T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E7842-790F-4256-A3B1-82DE0A0C4766}">
  <sheetPr codeName="EntryForm">
    <tabColor rgb="FF002060"/>
  </sheetPr>
  <dimension ref="B1:W84"/>
  <sheetViews>
    <sheetView topLeftCell="B1" workbookViewId="0">
      <selection activeCell="C4" sqref="C4"/>
    </sheetView>
  </sheetViews>
  <sheetFormatPr defaultColWidth="0" defaultRowHeight="15" zeroHeight="1" x14ac:dyDescent="0.25"/>
  <cols>
    <col min="1" max="1" width="9.140625" hidden="1" customWidth="1"/>
    <col min="2" max="2" width="41.7109375" customWidth="1"/>
    <col min="3" max="3" width="38.5703125" customWidth="1"/>
    <col min="4" max="23" width="9.140625" style="17" customWidth="1"/>
    <col min="24" max="16384" width="9.140625" hidden="1"/>
  </cols>
  <sheetData>
    <row r="1" spans="2:4" ht="27.75" customHeight="1" x14ac:dyDescent="0.25">
      <c r="B1" s="88" t="s">
        <v>14</v>
      </c>
      <c r="C1" s="88"/>
    </row>
    <row r="2" spans="2:4" ht="15.75" x14ac:dyDescent="0.25">
      <c r="B2" s="2" t="s">
        <v>34</v>
      </c>
      <c r="C2" s="1"/>
    </row>
    <row r="3" spans="2:4" ht="15.75" x14ac:dyDescent="0.25">
      <c r="B3" s="2" t="s">
        <v>9</v>
      </c>
      <c r="C3" s="14"/>
    </row>
    <row r="4" spans="2:4" ht="15.75" x14ac:dyDescent="0.25">
      <c r="B4" s="2" t="s">
        <v>32</v>
      </c>
      <c r="C4" s="1"/>
    </row>
    <row r="5" spans="2:4" ht="15.75" x14ac:dyDescent="0.25">
      <c r="B5" s="2" t="s">
        <v>10</v>
      </c>
      <c r="C5" s="1"/>
    </row>
    <row r="6" spans="2:4" ht="15.75" x14ac:dyDescent="0.25">
      <c r="B6" s="2" t="s">
        <v>11</v>
      </c>
      <c r="C6" s="1"/>
    </row>
    <row r="7" spans="2:4" ht="15.75" x14ac:dyDescent="0.25">
      <c r="B7" s="2" t="s">
        <v>12</v>
      </c>
      <c r="C7" s="1"/>
    </row>
    <row r="8" spans="2:4" ht="15.75" x14ac:dyDescent="0.25">
      <c r="B8" s="2" t="s">
        <v>13</v>
      </c>
      <c r="C8" s="1"/>
    </row>
    <row r="9" spans="2:4" ht="15.75" x14ac:dyDescent="0.25">
      <c r="B9" s="2" t="s">
        <v>55</v>
      </c>
      <c r="C9" s="1"/>
    </row>
    <row r="10" spans="2:4" ht="15.75" x14ac:dyDescent="0.25">
      <c r="B10" s="2" t="s">
        <v>59</v>
      </c>
      <c r="C10" s="1"/>
    </row>
    <row r="11" spans="2:4" ht="19.5" thickBot="1" x14ac:dyDescent="0.35">
      <c r="B11" s="19" t="s">
        <v>45</v>
      </c>
      <c r="C11" s="21"/>
    </row>
    <row r="12" spans="2:4" ht="20.25" thickTop="1" thickBot="1" x14ac:dyDescent="0.35">
      <c r="B12" s="19" t="s">
        <v>60</v>
      </c>
      <c r="C12" s="21"/>
      <c r="D12" s="20"/>
    </row>
    <row r="13" spans="2:4" s="17" customFormat="1" ht="15.75" thickTop="1" x14ac:dyDescent="0.25"/>
    <row r="14" spans="2:4" s="17" customFormat="1" x14ac:dyDescent="0.25"/>
    <row r="15" spans="2:4" s="17" customFormat="1" x14ac:dyDescent="0.25"/>
    <row r="16" spans="2:4" s="17" customFormat="1" x14ac:dyDescent="0.25"/>
    <row r="17" spans="2:3" s="17" customFormat="1" x14ac:dyDescent="0.25"/>
    <row r="18" spans="2:3" s="17" customFormat="1" x14ac:dyDescent="0.25"/>
    <row r="19" spans="2:3" s="17" customFormat="1" x14ac:dyDescent="0.25">
      <c r="B19" s="89" t="s">
        <v>65</v>
      </c>
      <c r="C19" s="89"/>
    </row>
    <row r="20" spans="2:3" s="17" customFormat="1" x14ac:dyDescent="0.25">
      <c r="B20" s="89"/>
      <c r="C20" s="89"/>
    </row>
    <row r="21" spans="2:3" s="17" customFormat="1" x14ac:dyDescent="0.25">
      <c r="B21" s="89"/>
      <c r="C21" s="89"/>
    </row>
    <row r="22" spans="2:3" s="17" customFormat="1" x14ac:dyDescent="0.25"/>
    <row r="23" spans="2:3" s="17" customFormat="1" x14ac:dyDescent="0.25"/>
    <row r="24" spans="2:3" s="17" customFormat="1" x14ac:dyDescent="0.25"/>
    <row r="25" spans="2:3" s="17" customFormat="1" x14ac:dyDescent="0.25"/>
    <row r="26" spans="2:3" s="17" customFormat="1" x14ac:dyDescent="0.25"/>
    <row r="27" spans="2:3" s="17" customFormat="1" x14ac:dyDescent="0.25"/>
    <row r="28" spans="2:3" s="17" customFormat="1" x14ac:dyDescent="0.25"/>
    <row r="29" spans="2:3" s="17" customFormat="1" x14ac:dyDescent="0.25"/>
    <row r="30" spans="2:3" s="17" customFormat="1" x14ac:dyDescent="0.25"/>
    <row r="31" spans="2:3" s="17" customFormat="1" x14ac:dyDescent="0.25"/>
    <row r="32" spans="2:3" s="17" customFormat="1" x14ac:dyDescent="0.25"/>
    <row r="33" s="17" customFormat="1" x14ac:dyDescent="0.25"/>
    <row r="34" s="17" customFormat="1" x14ac:dyDescent="0.25"/>
    <row r="35" s="17" customFormat="1" x14ac:dyDescent="0.25"/>
    <row r="36" s="17" customFormat="1" x14ac:dyDescent="0.25"/>
    <row r="37" s="17" customFormat="1" x14ac:dyDescent="0.25"/>
    <row r="38" s="17" customFormat="1" x14ac:dyDescent="0.25"/>
    <row r="39" s="17" customFormat="1" x14ac:dyDescent="0.25"/>
    <row r="40" s="17" customFormat="1" x14ac:dyDescent="0.25"/>
    <row r="41" s="17" customFormat="1" x14ac:dyDescent="0.25"/>
    <row r="42" s="17" customFormat="1" x14ac:dyDescent="0.25"/>
    <row r="43" s="17" customFormat="1" x14ac:dyDescent="0.25"/>
    <row r="44" s="17" customFormat="1" x14ac:dyDescent="0.25"/>
    <row r="45" s="17" customFormat="1" x14ac:dyDescent="0.25"/>
    <row r="46" s="17" customFormat="1" x14ac:dyDescent="0.25"/>
    <row r="47" s="17" customFormat="1" x14ac:dyDescent="0.25"/>
    <row r="48" s="17" customFormat="1" x14ac:dyDescent="0.25"/>
    <row r="49" s="17" customFormat="1" x14ac:dyDescent="0.25"/>
    <row r="50" s="17" customFormat="1" x14ac:dyDescent="0.25"/>
    <row r="51" s="17" customFormat="1" x14ac:dyDescent="0.25"/>
    <row r="52" s="17" customFormat="1" x14ac:dyDescent="0.25"/>
    <row r="53" s="17" customFormat="1" x14ac:dyDescent="0.25"/>
    <row r="54" s="17" customFormat="1" x14ac:dyDescent="0.25"/>
    <row r="55" s="17" customFormat="1" x14ac:dyDescent="0.25"/>
    <row r="56" s="17" customFormat="1" x14ac:dyDescent="0.25"/>
    <row r="57" s="17" customFormat="1" x14ac:dyDescent="0.25"/>
    <row r="58" s="17" customFormat="1" x14ac:dyDescent="0.25"/>
    <row r="59" s="17" customFormat="1" x14ac:dyDescent="0.25"/>
    <row r="60" s="17" customFormat="1" x14ac:dyDescent="0.25"/>
    <row r="61" s="17" customFormat="1" x14ac:dyDescent="0.25"/>
    <row r="62" s="17" customFormat="1" x14ac:dyDescent="0.25"/>
    <row r="63" s="17" customFormat="1" x14ac:dyDescent="0.25"/>
    <row r="64" s="17" customFormat="1" x14ac:dyDescent="0.25"/>
    <row r="65" s="17" customFormat="1" x14ac:dyDescent="0.25"/>
    <row r="66" s="17" customFormat="1" x14ac:dyDescent="0.25"/>
    <row r="67" s="17" customFormat="1" x14ac:dyDescent="0.25"/>
    <row r="68" s="17" customFormat="1" x14ac:dyDescent="0.25"/>
    <row r="69" s="17" customFormat="1" x14ac:dyDescent="0.25"/>
    <row r="70" s="17" customFormat="1" x14ac:dyDescent="0.25"/>
    <row r="71" s="17" customFormat="1" x14ac:dyDescent="0.25"/>
    <row r="72" s="17" customFormat="1" x14ac:dyDescent="0.25"/>
    <row r="73" s="17" customFormat="1" x14ac:dyDescent="0.25"/>
    <row r="74" s="17" customFormat="1" x14ac:dyDescent="0.25"/>
    <row r="75" s="17" customFormat="1" x14ac:dyDescent="0.25"/>
    <row r="76" s="17" customFormat="1" x14ac:dyDescent="0.25"/>
    <row r="77" s="17" customFormat="1" x14ac:dyDescent="0.25"/>
    <row r="78" s="17" customFormat="1" x14ac:dyDescent="0.25"/>
    <row r="79" s="17" customFormat="1" x14ac:dyDescent="0.25"/>
    <row r="80" s="17" customFormat="1" x14ac:dyDescent="0.25"/>
    <row r="81" s="17" customFormat="1" x14ac:dyDescent="0.25"/>
    <row r="82" s="17" customFormat="1" x14ac:dyDescent="0.25"/>
    <row r="83" x14ac:dyDescent="0.25"/>
    <row r="84" x14ac:dyDescent="0.25"/>
  </sheetData>
  <sheetProtection algorithmName="SHA-512" hashValue="NTZZRxalwDgUYAtrBH7xbhJVoP6yCnrEba6EXcH6df1XQJBOXoBSS6fnnEPHxRE92XEErrCCoTMLI7PjFn9tQg==" saltValue="NZH8PY1m2p4MBksRBbYfVw==" spinCount="100000" sheet="1" selectLockedCells="1"/>
  <mergeCells count="2">
    <mergeCell ref="B1:C1"/>
    <mergeCell ref="B19:C21"/>
  </mergeCells>
  <dataValidations xWindow="504" yWindow="253" count="4">
    <dataValidation type="whole" allowBlank="1" showErrorMessage="1" errorTitle="Недопустимое количество" error="Предприятие не печатает больше 100 копий одного документа за раз" promptTitle="Введите нужное количество копий" prompt="Минимум: 1_x000a_Максимум: 100" sqref="C8" xr:uid="{F203B0B4-115D-4612-AF1D-3C89A3A8797C}">
      <formula1>1</formula1>
      <formula2>100</formula2>
    </dataValidation>
    <dataValidation type="textLength" allowBlank="1" showErrorMessage="1" errorTitle="Некорректная длина" error="Введите полные ФИО" promptTitle="Введите ФИО / название компании" prompt="Ваши полные фамилия, имя, отчество или название Вашей компании" sqref="C2" xr:uid="{DC787039-FFDD-409F-825F-70154D1DC2F1}">
      <formula1>3</formula1>
      <formula2>60</formula2>
    </dataValidation>
    <dataValidation type="textLength" operator="equal" allowBlank="1" showErrorMessage="1" errorTitle="Недопустимый формат" error="Введите номер телфефона в корректном формате" promptTitle="Введите нормер телефона" prompt="Номер телефона без международного кода_x000a_Пример: 9851234567" sqref="C3" xr:uid="{4729F506-9888-47BF-85AB-19506EFEF317}">
      <formula1>10</formula1>
    </dataValidation>
    <dataValidation type="whole" allowBlank="1" showErrorMessage="1" errorTitle="Расстояние задано неверно" error="Доставка на такое расстояние не осуществляется" sqref="C10" xr:uid="{51BA44DC-EDFA-48A3-9CDE-E338E0F5A448}">
      <formula1>1</formula1>
      <formula2>1000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AddDataToTable">
                <anchor moveWithCells="1" sizeWithCells="1">
                  <from>
                    <xdr:col>2</xdr:col>
                    <xdr:colOff>123825</xdr:colOff>
                    <xdr:row>15</xdr:row>
                    <xdr:rowOff>0</xdr:rowOff>
                  </from>
                  <to>
                    <xdr:col>2</xdr:col>
                    <xdr:colOff>2400300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" name="Button 51">
              <controlPr defaultSize="0" print="0" autoFill="0" autoPict="0" macro="[0]!GoToAllOrders">
                <anchor moveWithCells="1" sizeWithCells="1">
                  <from>
                    <xdr:col>1</xdr:col>
                    <xdr:colOff>238125</xdr:colOff>
                    <xdr:row>12</xdr:row>
                    <xdr:rowOff>142875</xdr:rowOff>
                  </from>
                  <to>
                    <xdr:col>1</xdr:col>
                    <xdr:colOff>2514600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" name="Button 60">
              <controlPr defaultSize="0" print="0" autoFill="0" autoPict="0" macro="[0]!CostValue.CostValue">
                <anchor moveWithCells="1" sizeWithCells="1">
                  <from>
                    <xdr:col>2</xdr:col>
                    <xdr:colOff>123825</xdr:colOff>
                    <xdr:row>12</xdr:row>
                    <xdr:rowOff>142875</xdr:rowOff>
                  </from>
                  <to>
                    <xdr:col>2</xdr:col>
                    <xdr:colOff>2400300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04" yWindow="253" count="5">
        <x14:dataValidation type="list" allowBlank="1" showErrorMessage="1" promptTitle="Цвет/ЧБ" prompt="Выберите тип печати" xr:uid="{8685A546-0B04-4574-AE0C-64F936565898}">
          <x14:formula1>
            <xm:f>Списки!$A$2:$A$3</xm:f>
          </x14:formula1>
          <xm:sqref>C5</xm:sqref>
        </x14:dataValidation>
        <x14:dataValidation type="list" allowBlank="1" showErrorMessage="1" promptTitle="Фото/текст/фото и текст" prompt="Выберите тип документа" xr:uid="{A78FCB00-3060-445B-B48B-6ABA4B4BE450}">
          <x14:formula1>
            <xm:f>Списки!$C$2:$C$4</xm:f>
          </x14:formula1>
          <xm:sqref>C4</xm:sqref>
        </x14:dataValidation>
        <x14:dataValidation type="list" allowBlank="1" showErrorMessage="1" promptTitle="Выберите нужный формат бумаги" prompt="A4/A5/B5/10x15 см/13x18 см/20x25 см/L 89x127 мм/2L 127x178 мм" xr:uid="{31F95BDE-1B89-43B2-A969-8EADAEDDB2E0}">
          <x14:formula1>
            <xm:f>Списки!$B$2:$B$9</xm:f>
          </x14:formula1>
          <xm:sqref>C6</xm:sqref>
        </x14:dataValidation>
        <x14:dataValidation type="list" allowBlank="1" showErrorMessage="1" promptTitle="Обычный/матовая/глянцевая" prompt="Выберите тип бумаги" xr:uid="{6F20E66D-98B3-4F72-85B4-B7F994A3C682}">
          <x14:formula1>
            <xm:f>Списки!$D$2:$D$4</xm:f>
          </x14:formula1>
          <xm:sqref>C7</xm:sqref>
        </x14:dataValidation>
        <x14:dataValidation type="list" allowBlank="1" showErrorMessage="1" xr:uid="{71384253-1661-4A39-8C16-E0A66AB83094}">
          <x14:formula1>
            <xm:f>Списки!$F$2:$F$3</xm:f>
          </x14:formula1>
          <xm:sqref>C9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5ED1-5E3E-487D-A4FC-DAB25324912D}">
  <sheetPr codeName="Variants"/>
  <dimension ref="A1:F9"/>
  <sheetViews>
    <sheetView workbookViewId="0">
      <selection activeCell="E3" sqref="E3"/>
    </sheetView>
  </sheetViews>
  <sheetFormatPr defaultRowHeight="15" x14ac:dyDescent="0.25"/>
  <cols>
    <col min="1" max="1" width="13.5703125" bestFit="1" customWidth="1"/>
    <col min="2" max="2" width="13.7109375" bestFit="1" customWidth="1"/>
    <col min="3" max="3" width="14.7109375" bestFit="1" customWidth="1"/>
    <col min="4" max="4" width="11.140625" bestFit="1" customWidth="1"/>
    <col min="5" max="5" width="9.28515625" customWidth="1"/>
    <col min="6" max="6" width="13.140625" bestFit="1" customWidth="1"/>
  </cols>
  <sheetData>
    <row r="1" spans="1:6" x14ac:dyDescent="0.25">
      <c r="A1" t="s">
        <v>1</v>
      </c>
      <c r="B1" t="s">
        <v>17</v>
      </c>
      <c r="C1" t="s">
        <v>7</v>
      </c>
      <c r="D1" t="s">
        <v>5</v>
      </c>
      <c r="E1" t="s">
        <v>38</v>
      </c>
      <c r="F1" t="s">
        <v>56</v>
      </c>
    </row>
    <row r="2" spans="1:6" x14ac:dyDescent="0.25">
      <c r="A2" t="s">
        <v>15</v>
      </c>
      <c r="B2" t="s">
        <v>18</v>
      </c>
      <c r="C2" t="s">
        <v>26</v>
      </c>
      <c r="D2" t="s">
        <v>31</v>
      </c>
      <c r="E2" t="s">
        <v>37</v>
      </c>
      <c r="F2" t="s">
        <v>57</v>
      </c>
    </row>
    <row r="3" spans="1:6" x14ac:dyDescent="0.25">
      <c r="A3" t="s">
        <v>16</v>
      </c>
      <c r="B3" t="s">
        <v>19</v>
      </c>
      <c r="C3" t="s">
        <v>27</v>
      </c>
      <c r="D3" t="s">
        <v>29</v>
      </c>
      <c r="E3" t="s">
        <v>39</v>
      </c>
      <c r="F3" t="s">
        <v>58</v>
      </c>
    </row>
    <row r="4" spans="1:6" x14ac:dyDescent="0.25">
      <c r="B4" t="s">
        <v>20</v>
      </c>
      <c r="C4" t="s">
        <v>28</v>
      </c>
      <c r="D4" t="s">
        <v>30</v>
      </c>
    </row>
    <row r="5" spans="1:6" x14ac:dyDescent="0.25">
      <c r="B5" t="s">
        <v>21</v>
      </c>
    </row>
    <row r="6" spans="1:6" x14ac:dyDescent="0.25">
      <c r="B6" t="s">
        <v>22</v>
      </c>
    </row>
    <row r="7" spans="1:6" x14ac:dyDescent="0.25">
      <c r="B7" t="s">
        <v>23</v>
      </c>
    </row>
    <row r="8" spans="1:6" x14ac:dyDescent="0.25">
      <c r="B8" t="s">
        <v>25</v>
      </c>
    </row>
    <row r="9" spans="1:6" x14ac:dyDescent="0.25">
      <c r="B9" t="s">
        <v>24</v>
      </c>
    </row>
  </sheetData>
  <dataValidations count="1">
    <dataValidation type="list" allowBlank="1" showInputMessage="1" showErrorMessage="1" promptTitle="Да/Нет" prompt="Да - если заказ выполнен;_x000a_Нет - если заказ ещё не выполнен;" sqref="I2" xr:uid="{B0E7F330-FF15-4C84-B257-BC3129F72F99}">
      <mc:AlternateContent xmlns:x12ac="http://schemas.microsoft.com/office/spreadsheetml/2011/1/ac" xmlns:mc="http://schemas.openxmlformats.org/markup-compatibility/2006">
        <mc:Choice Requires="x12ac">
          <x12ac:list>"""Да""","""Нет"""</x12ac:list>
        </mc:Choice>
        <mc:Fallback>
          <formula1>"""Да"",""Нет"""</formula1>
        </mc:Fallback>
      </mc:AlternateContent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2B61F-A764-412D-8372-FC5E9F050546}">
  <sheetPr codeName="MyDataList">
    <tabColor rgb="FF001746"/>
  </sheetPr>
  <dimension ref="A1:Q21"/>
  <sheetViews>
    <sheetView workbookViewId="0">
      <selection activeCell="E23" sqref="E23"/>
    </sheetView>
  </sheetViews>
  <sheetFormatPr defaultRowHeight="15" x14ac:dyDescent="0.25"/>
  <cols>
    <col min="1" max="1" width="8.85546875" style="47" customWidth="1"/>
    <col min="2" max="2" width="38.5703125" style="106" customWidth="1"/>
    <col min="3" max="3" width="26.85546875" style="47" customWidth="1"/>
    <col min="4" max="4" width="13.5703125" style="47" customWidth="1"/>
    <col min="5" max="5" width="15.140625" style="107" customWidth="1"/>
    <col min="6" max="6" width="16.7109375" style="47" customWidth="1"/>
    <col min="7" max="7" width="13.140625" style="47" customWidth="1"/>
    <col min="8" max="8" width="17" style="47" customWidth="1"/>
    <col min="9" max="9" width="13.28515625" style="108" customWidth="1"/>
    <col min="10" max="10" width="17.85546875" style="47" bestFit="1" customWidth="1"/>
    <col min="11" max="11" width="15" style="108" customWidth="1"/>
    <col min="12" max="12" width="17.5703125" style="44" bestFit="1" customWidth="1"/>
    <col min="13" max="13" width="18.5703125" style="47" bestFit="1" customWidth="1"/>
    <col min="14" max="14" width="18.140625" style="108" bestFit="1" customWidth="1"/>
    <col min="15" max="15" width="17.140625" style="109" customWidth="1"/>
    <col min="16" max="16" width="19.7109375" style="109" bestFit="1" customWidth="1"/>
    <col min="17" max="17" width="40.5703125" style="47" customWidth="1"/>
    <col min="18" max="16384" width="9.140625" style="23"/>
  </cols>
  <sheetData>
    <row r="1" spans="1:17" customFormat="1" ht="27" customHeight="1" x14ac:dyDescent="0.25">
      <c r="A1" s="90" t="s">
        <v>51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</row>
    <row r="2" spans="1:17" x14ac:dyDescent="0.25">
      <c r="A2" s="45" t="s">
        <v>0</v>
      </c>
      <c r="B2" s="110" t="s">
        <v>33</v>
      </c>
      <c r="C2" s="111" t="s">
        <v>6</v>
      </c>
      <c r="D2" s="111" t="s">
        <v>3</v>
      </c>
      <c r="E2" s="112" t="s">
        <v>4</v>
      </c>
      <c r="F2" s="111" t="s">
        <v>7</v>
      </c>
      <c r="G2" s="111" t="s">
        <v>1</v>
      </c>
      <c r="H2" s="111" t="s">
        <v>2</v>
      </c>
      <c r="I2" s="110" t="s">
        <v>5</v>
      </c>
      <c r="J2" s="111" t="s">
        <v>8</v>
      </c>
      <c r="K2" s="110" t="s">
        <v>35</v>
      </c>
      <c r="L2" s="42" t="s">
        <v>36</v>
      </c>
      <c r="M2" s="42" t="s">
        <v>46</v>
      </c>
      <c r="N2" s="113" t="s">
        <v>54</v>
      </c>
      <c r="O2" s="110" t="s">
        <v>56</v>
      </c>
      <c r="P2" s="110" t="s">
        <v>64</v>
      </c>
      <c r="Q2" s="110" t="s">
        <v>66</v>
      </c>
    </row>
    <row r="3" spans="1:17" x14ac:dyDescent="0.25">
      <c r="A3" s="46">
        <f>IF(ISBLANK(B3), "", COUNTA($B$3:B3))</f>
        <v>1</v>
      </c>
      <c r="B3" s="92" t="s">
        <v>67</v>
      </c>
      <c r="C3" s="93">
        <v>9851234567</v>
      </c>
      <c r="D3" s="94">
        <v>43914</v>
      </c>
      <c r="E3" s="95">
        <v>0.72136574074074078</v>
      </c>
      <c r="F3" s="94" t="s">
        <v>27</v>
      </c>
      <c r="G3" s="96" t="s">
        <v>15</v>
      </c>
      <c r="H3" s="96" t="s">
        <v>18</v>
      </c>
      <c r="I3" s="97" t="s">
        <v>31</v>
      </c>
      <c r="J3" s="96">
        <v>42</v>
      </c>
      <c r="K3" s="97" t="s">
        <v>39</v>
      </c>
      <c r="L3" s="43" t="str">
        <f ca="1">IF(Таблица1[[#This Row],[Выполнен]]="Да",TODAY(),"")</f>
        <v/>
      </c>
      <c r="M3" s="96">
        <v>210</v>
      </c>
      <c r="N3" s="97" t="s">
        <v>37</v>
      </c>
      <c r="O3" s="97" t="s">
        <v>58</v>
      </c>
      <c r="P3" s="97">
        <v>0</v>
      </c>
      <c r="Q3" s="98"/>
    </row>
    <row r="4" spans="1:17" x14ac:dyDescent="0.25">
      <c r="A4" s="46">
        <f>IF(ISBLANK(B4), "", COUNTA($B$3:B4))</f>
        <v>2</v>
      </c>
      <c r="B4" s="92" t="s">
        <v>68</v>
      </c>
      <c r="C4" s="93">
        <v>9857894563</v>
      </c>
      <c r="D4" s="94">
        <v>43914</v>
      </c>
      <c r="E4" s="95">
        <v>0.72261574074074064</v>
      </c>
      <c r="F4" s="96" t="s">
        <v>26</v>
      </c>
      <c r="G4" s="96" t="s">
        <v>16</v>
      </c>
      <c r="H4" s="96" t="s">
        <v>21</v>
      </c>
      <c r="I4" s="97" t="s">
        <v>29</v>
      </c>
      <c r="J4" s="96">
        <v>10</v>
      </c>
      <c r="K4" s="97" t="s">
        <v>37</v>
      </c>
      <c r="L4" s="43">
        <f ca="1">IF(Таблица1[[#This Row],[Выполнен]]="Да",TODAY(),"")</f>
        <v>43914</v>
      </c>
      <c r="M4" s="96">
        <v>950</v>
      </c>
      <c r="N4" s="97" t="s">
        <v>37</v>
      </c>
      <c r="O4" s="97" t="s">
        <v>57</v>
      </c>
      <c r="P4" s="97">
        <v>1000</v>
      </c>
      <c r="Q4" s="98" t="s">
        <v>73</v>
      </c>
    </row>
    <row r="5" spans="1:17" x14ac:dyDescent="0.25">
      <c r="A5" s="46">
        <f>IF(ISBLANK(B5), "", COUNTA($B$3:B5))</f>
        <v>3</v>
      </c>
      <c r="B5" s="92" t="s">
        <v>69</v>
      </c>
      <c r="C5" s="93">
        <v>9162568989</v>
      </c>
      <c r="D5" s="94">
        <v>43914</v>
      </c>
      <c r="E5" s="95">
        <v>0.72366898148148151</v>
      </c>
      <c r="F5" s="96" t="s">
        <v>28</v>
      </c>
      <c r="G5" s="96" t="s">
        <v>16</v>
      </c>
      <c r="H5" s="96" t="s">
        <v>20</v>
      </c>
      <c r="I5" s="97" t="s">
        <v>31</v>
      </c>
      <c r="J5" s="96">
        <v>2</v>
      </c>
      <c r="K5" s="97" t="s">
        <v>37</v>
      </c>
      <c r="L5" s="43">
        <f ca="1">IF(Таблица1[[#This Row],[Выполнен]]="Да",TODAY(),"")</f>
        <v>43914</v>
      </c>
      <c r="M5" s="96">
        <v>40</v>
      </c>
      <c r="N5" s="97" t="s">
        <v>39</v>
      </c>
      <c r="O5" s="97" t="s">
        <v>58</v>
      </c>
      <c r="P5" s="97">
        <v>0</v>
      </c>
      <c r="Q5" s="46"/>
    </row>
    <row r="6" spans="1:17" x14ac:dyDescent="0.25">
      <c r="A6" s="46">
        <f>IF(ISBLANK(B6), "", COUNTA($B$3:B6))</f>
        <v>4</v>
      </c>
      <c r="B6" s="92" t="s">
        <v>70</v>
      </c>
      <c r="C6" s="93">
        <v>9151112223</v>
      </c>
      <c r="D6" s="94">
        <v>43914</v>
      </c>
      <c r="E6" s="95">
        <v>0.72502314814814817</v>
      </c>
      <c r="F6" s="96" t="s">
        <v>26</v>
      </c>
      <c r="G6" s="96" t="s">
        <v>15</v>
      </c>
      <c r="H6" s="96" t="s">
        <v>23</v>
      </c>
      <c r="I6" s="97" t="s">
        <v>30</v>
      </c>
      <c r="J6" s="96">
        <v>3</v>
      </c>
      <c r="K6" s="97" t="s">
        <v>39</v>
      </c>
      <c r="L6" s="43" t="str">
        <f ca="1">IF(Таблица1[[#This Row],[Выполнен]]="Да",TODAY(),"")</f>
        <v/>
      </c>
      <c r="M6" s="96">
        <v>270</v>
      </c>
      <c r="N6" s="97" t="s">
        <v>39</v>
      </c>
      <c r="O6" s="97" t="s">
        <v>57</v>
      </c>
      <c r="P6" s="97">
        <v>500</v>
      </c>
      <c r="Q6" s="99" t="s">
        <v>71</v>
      </c>
    </row>
    <row r="7" spans="1:17" x14ac:dyDescent="0.25">
      <c r="A7" s="46">
        <f>IF(ISBLANK(B7), "", COUNTA($B$3:B7))</f>
        <v>5</v>
      </c>
      <c r="B7" s="92" t="s">
        <v>72</v>
      </c>
      <c r="C7" s="93">
        <v>9164567891</v>
      </c>
      <c r="D7" s="94">
        <v>43914</v>
      </c>
      <c r="E7" s="95">
        <v>0.72721064814814806</v>
      </c>
      <c r="F7" s="96" t="s">
        <v>27</v>
      </c>
      <c r="G7" s="96" t="s">
        <v>15</v>
      </c>
      <c r="H7" s="96" t="s">
        <v>19</v>
      </c>
      <c r="I7" s="97" t="s">
        <v>31</v>
      </c>
      <c r="J7" s="96">
        <v>1</v>
      </c>
      <c r="K7" s="97" t="s">
        <v>37</v>
      </c>
      <c r="L7" s="43">
        <f ca="1">IF(Таблица1[[#This Row],[Выполнен]]="Да",TODAY(),"")</f>
        <v>43914</v>
      </c>
      <c r="M7" s="96">
        <v>4</v>
      </c>
      <c r="N7" s="97" t="s">
        <v>37</v>
      </c>
      <c r="O7" s="97" t="s">
        <v>58</v>
      </c>
      <c r="P7" s="97">
        <v>0</v>
      </c>
      <c r="Q7" s="98" t="s">
        <v>73</v>
      </c>
    </row>
    <row r="8" spans="1:17" x14ac:dyDescent="0.25">
      <c r="A8" s="46">
        <f>IF(ISBLANK(B8), "", COUNTA($B$3:B8))</f>
        <v>6</v>
      </c>
      <c r="B8" s="92" t="s">
        <v>74</v>
      </c>
      <c r="C8" s="93">
        <v>9994563322</v>
      </c>
      <c r="D8" s="94">
        <v>43914</v>
      </c>
      <c r="E8" s="95">
        <v>0.72868055555555555</v>
      </c>
      <c r="F8" s="96" t="s">
        <v>27</v>
      </c>
      <c r="G8" s="96" t="s">
        <v>15</v>
      </c>
      <c r="H8" s="96" t="s">
        <v>18</v>
      </c>
      <c r="I8" s="97" t="s">
        <v>31</v>
      </c>
      <c r="J8" s="96">
        <v>10</v>
      </c>
      <c r="K8" s="97" t="s">
        <v>37</v>
      </c>
      <c r="L8" s="43">
        <f ca="1">IF(Таблица1[[#This Row],[Выполнен]]="Да",TODAY(),"")</f>
        <v>43914</v>
      </c>
      <c r="M8" s="96">
        <v>50</v>
      </c>
      <c r="N8" s="97" t="s">
        <v>39</v>
      </c>
      <c r="O8" s="97" t="s">
        <v>57</v>
      </c>
      <c r="P8" s="97">
        <v>1000</v>
      </c>
      <c r="Q8" s="98"/>
    </row>
    <row r="9" spans="1:17" x14ac:dyDescent="0.25">
      <c r="A9" s="46">
        <f>IF(ISBLANK(B9), "", COUNTA($B$3:B9))</f>
        <v>7</v>
      </c>
      <c r="B9" s="92" t="s">
        <v>75</v>
      </c>
      <c r="C9" s="93">
        <v>9256653317</v>
      </c>
      <c r="D9" s="94">
        <v>43914</v>
      </c>
      <c r="E9" s="95">
        <v>0.73047453703703702</v>
      </c>
      <c r="F9" s="96" t="s">
        <v>26</v>
      </c>
      <c r="G9" s="96" t="s">
        <v>15</v>
      </c>
      <c r="H9" s="96" t="s">
        <v>24</v>
      </c>
      <c r="I9" s="97" t="s">
        <v>29</v>
      </c>
      <c r="J9" s="96">
        <v>1</v>
      </c>
      <c r="K9" s="97" t="s">
        <v>37</v>
      </c>
      <c r="L9" s="43">
        <f ca="1">IF(Таблица1[[#This Row],[Выполнен]]="Да",TODAY(),"")</f>
        <v>43914</v>
      </c>
      <c r="M9" s="96">
        <v>115</v>
      </c>
      <c r="N9" s="97" t="s">
        <v>37</v>
      </c>
      <c r="O9" s="97" t="s">
        <v>58</v>
      </c>
      <c r="P9" s="97">
        <v>0</v>
      </c>
      <c r="Q9" s="98" t="s">
        <v>73</v>
      </c>
    </row>
    <row r="10" spans="1:17" x14ac:dyDescent="0.25">
      <c r="A10" s="46">
        <f>IF(ISBLANK(B10), "", COUNTA($B$3:B10))</f>
        <v>8</v>
      </c>
      <c r="B10" s="92" t="s">
        <v>76</v>
      </c>
      <c r="C10" s="93">
        <v>4957536565</v>
      </c>
      <c r="D10" s="94">
        <v>43914</v>
      </c>
      <c r="E10" s="95">
        <v>0.73122685185185177</v>
      </c>
      <c r="F10" s="96" t="s">
        <v>26</v>
      </c>
      <c r="G10" s="96" t="s">
        <v>16</v>
      </c>
      <c r="H10" s="96" t="s">
        <v>25</v>
      </c>
      <c r="I10" s="97" t="s">
        <v>30</v>
      </c>
      <c r="J10" s="96">
        <v>1</v>
      </c>
      <c r="K10" s="97" t="s">
        <v>39</v>
      </c>
      <c r="L10" s="43" t="str">
        <f ca="1">IF(Таблица1[[#This Row],[Выполнен]]="Да",TODAY(),"")</f>
        <v/>
      </c>
      <c r="M10" s="96">
        <v>105</v>
      </c>
      <c r="N10" s="97" t="s">
        <v>39</v>
      </c>
      <c r="O10" s="97" t="s">
        <v>57</v>
      </c>
      <c r="P10" s="97">
        <v>1500</v>
      </c>
      <c r="Q10" s="98" t="s">
        <v>71</v>
      </c>
    </row>
    <row r="11" spans="1:17" x14ac:dyDescent="0.25">
      <c r="A11" s="46">
        <f>IF(ISBLANK(B11), "", COUNTA($B$3:B11))</f>
        <v>9</v>
      </c>
      <c r="B11" s="92" t="s">
        <v>77</v>
      </c>
      <c r="C11" s="93">
        <v>9831231233</v>
      </c>
      <c r="D11" s="94">
        <v>43914</v>
      </c>
      <c r="E11" s="95">
        <v>0.73434027777777777</v>
      </c>
      <c r="F11" s="96" t="s">
        <v>26</v>
      </c>
      <c r="G11" s="96" t="s">
        <v>16</v>
      </c>
      <c r="H11" s="96" t="s">
        <v>21</v>
      </c>
      <c r="I11" s="97" t="s">
        <v>29</v>
      </c>
      <c r="J11" s="96">
        <v>100</v>
      </c>
      <c r="K11" s="97" t="s">
        <v>39</v>
      </c>
      <c r="L11" s="43" t="str">
        <f ca="1">IF(Таблица1[[#This Row],[Выполнен]]="Да",TODAY(),"")</f>
        <v/>
      </c>
      <c r="M11" s="96">
        <v>9500</v>
      </c>
      <c r="N11" s="97" t="s">
        <v>37</v>
      </c>
      <c r="O11" s="97" t="s">
        <v>58</v>
      </c>
      <c r="P11" s="97">
        <v>0</v>
      </c>
      <c r="Q11" s="98"/>
    </row>
    <row r="12" spans="1:17" x14ac:dyDescent="0.25">
      <c r="A12" s="46">
        <f>IF(ISBLANK(B12), "", COUNTA($B$3:B12))</f>
        <v>10</v>
      </c>
      <c r="B12" s="92" t="s">
        <v>78</v>
      </c>
      <c r="C12" s="93">
        <v>9156549875</v>
      </c>
      <c r="D12" s="94">
        <v>43914</v>
      </c>
      <c r="E12" s="95">
        <v>0.73586805555555557</v>
      </c>
      <c r="F12" s="96" t="s">
        <v>28</v>
      </c>
      <c r="G12" s="96" t="s">
        <v>15</v>
      </c>
      <c r="H12" s="96" t="s">
        <v>18</v>
      </c>
      <c r="I12" s="97" t="s">
        <v>31</v>
      </c>
      <c r="J12" s="96">
        <v>50</v>
      </c>
      <c r="K12" s="97" t="s">
        <v>37</v>
      </c>
      <c r="L12" s="43">
        <f ca="1">IF(Таблица1[[#This Row],[Выполнен]]="Да",TODAY(),"")</f>
        <v>43914</v>
      </c>
      <c r="M12" s="96">
        <v>750</v>
      </c>
      <c r="N12" s="97" t="s">
        <v>37</v>
      </c>
      <c r="O12" s="97" t="s">
        <v>57</v>
      </c>
      <c r="P12" s="97">
        <v>50000</v>
      </c>
      <c r="Q12" s="98" t="s">
        <v>73</v>
      </c>
    </row>
    <row r="13" spans="1:17" x14ac:dyDescent="0.25">
      <c r="A13" s="46">
        <f>IF(ISBLANK(B13), "", COUNTA($B$3:B13))</f>
        <v>11</v>
      </c>
      <c r="B13" s="92" t="s">
        <v>79</v>
      </c>
      <c r="C13" s="93">
        <v>9563259844</v>
      </c>
      <c r="D13" s="94">
        <v>43914</v>
      </c>
      <c r="E13" s="95">
        <v>0.73780092592592583</v>
      </c>
      <c r="F13" s="96" t="s">
        <v>26</v>
      </c>
      <c r="G13" s="96" t="s">
        <v>16</v>
      </c>
      <c r="H13" s="96" t="s">
        <v>22</v>
      </c>
      <c r="I13" s="97" t="s">
        <v>29</v>
      </c>
      <c r="J13" s="96">
        <v>15</v>
      </c>
      <c r="K13" s="97" t="s">
        <v>39</v>
      </c>
      <c r="L13" s="43" t="str">
        <f ca="1">IF(Таблица1[[#This Row],[Выполнен]]="Да",TODAY(),"")</f>
        <v/>
      </c>
      <c r="M13" s="96">
        <v>1500</v>
      </c>
      <c r="N13" s="97" t="s">
        <v>39</v>
      </c>
      <c r="O13" s="97" t="s">
        <v>57</v>
      </c>
      <c r="P13" s="97">
        <v>900</v>
      </c>
      <c r="Q13" s="98" t="s">
        <v>71</v>
      </c>
    </row>
    <row r="14" spans="1:17" x14ac:dyDescent="0.25">
      <c r="A14" s="46">
        <f>IF(ISBLANK(B14), "", COUNTA($B$3:B14))</f>
        <v>12</v>
      </c>
      <c r="B14" s="92" t="s">
        <v>80</v>
      </c>
      <c r="C14" s="93">
        <v>9256565656</v>
      </c>
      <c r="D14" s="94">
        <v>43914</v>
      </c>
      <c r="E14" s="95">
        <v>0.73943287037037031</v>
      </c>
      <c r="F14" s="96" t="s">
        <v>27</v>
      </c>
      <c r="G14" s="96" t="s">
        <v>15</v>
      </c>
      <c r="H14" s="96" t="s">
        <v>19</v>
      </c>
      <c r="I14" s="97" t="s">
        <v>31</v>
      </c>
      <c r="J14" s="96">
        <v>3</v>
      </c>
      <c r="K14" s="97" t="s">
        <v>39</v>
      </c>
      <c r="L14" s="43" t="str">
        <f ca="1">IF(Таблица1[[#This Row],[Выполнен]]="Да",TODAY(),"")</f>
        <v/>
      </c>
      <c r="M14" s="96">
        <v>12</v>
      </c>
      <c r="N14" s="97" t="s">
        <v>37</v>
      </c>
      <c r="O14" s="97" t="s">
        <v>57</v>
      </c>
      <c r="P14" s="97">
        <v>0</v>
      </c>
      <c r="Q14" s="46"/>
    </row>
    <row r="15" spans="1:17" x14ac:dyDescent="0.25">
      <c r="A15" s="46">
        <f>IF(ISBLANK(B15), "", COUNTA($B$3:B15))</f>
        <v>13</v>
      </c>
      <c r="B15" s="100" t="s">
        <v>81</v>
      </c>
      <c r="C15" s="101">
        <v>9561239132</v>
      </c>
      <c r="D15" s="102">
        <v>43914</v>
      </c>
      <c r="E15" s="103">
        <v>0.74052083333333341</v>
      </c>
      <c r="F15" s="104" t="s">
        <v>28</v>
      </c>
      <c r="G15" s="104" t="s">
        <v>16</v>
      </c>
      <c r="H15" s="104" t="s">
        <v>19</v>
      </c>
      <c r="I15" s="105" t="s">
        <v>31</v>
      </c>
      <c r="J15" s="104">
        <v>1</v>
      </c>
      <c r="K15" s="105" t="s">
        <v>37</v>
      </c>
      <c r="L15" s="91">
        <f ca="1">IF(Таблица1[[#This Row],[Выполнен]]="Да",TODAY(),"")</f>
        <v>43914</v>
      </c>
      <c r="M15" s="104">
        <v>15</v>
      </c>
      <c r="N15" s="105" t="s">
        <v>37</v>
      </c>
      <c r="O15" s="105" t="s">
        <v>57</v>
      </c>
      <c r="P15" s="105">
        <v>47500</v>
      </c>
      <c r="Q15" s="99" t="s">
        <v>73</v>
      </c>
    </row>
    <row r="16" spans="1:17" x14ac:dyDescent="0.25">
      <c r="A16" s="46">
        <f>IF(ISBLANK(B16), "", COUNTA($B$3:B16))</f>
        <v>14</v>
      </c>
      <c r="B16" s="92" t="s">
        <v>82</v>
      </c>
      <c r="C16" s="93">
        <v>4951212121</v>
      </c>
      <c r="D16" s="94">
        <v>43914</v>
      </c>
      <c r="E16" s="95">
        <v>0.74225694444444434</v>
      </c>
      <c r="F16" s="96" t="s">
        <v>26</v>
      </c>
      <c r="G16" s="96" t="s">
        <v>16</v>
      </c>
      <c r="H16" s="96" t="s">
        <v>24</v>
      </c>
      <c r="I16" s="97" t="s">
        <v>29</v>
      </c>
      <c r="J16" s="96">
        <v>2</v>
      </c>
      <c r="K16" s="97" t="s">
        <v>37</v>
      </c>
      <c r="L16" s="43">
        <f ca="1">IF(Таблица1[[#This Row],[Выполнен]]="Да",TODAY(),"")</f>
        <v>43914</v>
      </c>
      <c r="M16" s="96">
        <v>240</v>
      </c>
      <c r="N16" s="97" t="s">
        <v>37</v>
      </c>
      <c r="O16" s="97" t="s">
        <v>58</v>
      </c>
      <c r="P16" s="97">
        <v>0</v>
      </c>
      <c r="Q16" s="46" t="s">
        <v>73</v>
      </c>
    </row>
    <row r="17" spans="1:17" x14ac:dyDescent="0.25">
      <c r="A17" s="46">
        <f>IF(ISBLANK(B17), "", COUNTA($B$3:B17))</f>
        <v>15</v>
      </c>
      <c r="B17" s="92" t="s">
        <v>83</v>
      </c>
      <c r="C17" s="93">
        <v>4958989898</v>
      </c>
      <c r="D17" s="94">
        <v>43914</v>
      </c>
      <c r="E17" s="95">
        <v>0.74375000000000002</v>
      </c>
      <c r="F17" s="96" t="s">
        <v>26</v>
      </c>
      <c r="G17" s="96" t="s">
        <v>16</v>
      </c>
      <c r="H17" s="96" t="s">
        <v>21</v>
      </c>
      <c r="I17" s="97" t="s">
        <v>29</v>
      </c>
      <c r="J17" s="96">
        <v>90</v>
      </c>
      <c r="K17" s="97" t="s">
        <v>39</v>
      </c>
      <c r="L17" s="43" t="str">
        <f ca="1">IF(Таблица1[[#This Row],[Выполнен]]="Да",TODAY(),"")</f>
        <v/>
      </c>
      <c r="M17" s="96">
        <v>8550</v>
      </c>
      <c r="N17" s="97" t="s">
        <v>39</v>
      </c>
      <c r="O17" s="97" t="s">
        <v>57</v>
      </c>
      <c r="P17" s="97">
        <v>250</v>
      </c>
      <c r="Q17" s="98" t="s">
        <v>71</v>
      </c>
    </row>
    <row r="18" spans="1:17" x14ac:dyDescent="0.25">
      <c r="A18" s="46">
        <f>IF(ISBLANK(B18), "", COUNTA($B$3:B18))</f>
        <v>16</v>
      </c>
      <c r="B18" s="92" t="s">
        <v>84</v>
      </c>
      <c r="C18" s="93">
        <v>4957893315</v>
      </c>
      <c r="D18" s="94">
        <v>43914</v>
      </c>
      <c r="E18" s="95">
        <v>0.74516203703703709</v>
      </c>
      <c r="F18" s="96" t="s">
        <v>28</v>
      </c>
      <c r="G18" s="96" t="s">
        <v>15</v>
      </c>
      <c r="H18" s="96" t="s">
        <v>19</v>
      </c>
      <c r="I18" s="97" t="s">
        <v>31</v>
      </c>
      <c r="J18" s="96">
        <v>100</v>
      </c>
      <c r="K18" s="97" t="s">
        <v>37</v>
      </c>
      <c r="L18" s="43">
        <f ca="1">IF(Таблица1[[#This Row],[Выполнен]]="Да",TODAY(),"")</f>
        <v>43914</v>
      </c>
      <c r="M18" s="96">
        <v>1200</v>
      </c>
      <c r="N18" s="97" t="s">
        <v>37</v>
      </c>
      <c r="O18" s="97" t="s">
        <v>58</v>
      </c>
      <c r="P18" s="97">
        <v>0</v>
      </c>
      <c r="Q18" s="98" t="s">
        <v>73</v>
      </c>
    </row>
    <row r="19" spans="1:17" x14ac:dyDescent="0.25">
      <c r="A19" s="46">
        <f>IF(ISBLANK(B19), "", COUNTA($B$3:B19))</f>
        <v>17</v>
      </c>
      <c r="B19" s="100" t="s">
        <v>85</v>
      </c>
      <c r="C19" s="101">
        <v>9852525256</v>
      </c>
      <c r="D19" s="102">
        <v>43914</v>
      </c>
      <c r="E19" s="103">
        <v>0.74701388888888898</v>
      </c>
      <c r="F19" s="104" t="s">
        <v>26</v>
      </c>
      <c r="G19" s="104" t="s">
        <v>15</v>
      </c>
      <c r="H19" s="104" t="s">
        <v>21</v>
      </c>
      <c r="I19" s="105" t="s">
        <v>30</v>
      </c>
      <c r="J19" s="104">
        <v>6</v>
      </c>
      <c r="K19" s="105" t="s">
        <v>39</v>
      </c>
      <c r="L19" s="91" t="str">
        <f ca="1">IF(Таблица1[[#This Row],[Выполнен]]="Да",TODAY(),"")</f>
        <v/>
      </c>
      <c r="M19" s="104">
        <v>480</v>
      </c>
      <c r="N19" s="105" t="s">
        <v>37</v>
      </c>
      <c r="O19" s="105" t="s">
        <v>58</v>
      </c>
      <c r="P19" s="105">
        <v>0</v>
      </c>
      <c r="Q19" s="99"/>
    </row>
    <row r="20" spans="1:17" x14ac:dyDescent="0.25">
      <c r="A20" s="46">
        <f>IF(ISBLANK(B20), "", COUNTA($B$3:B20))</f>
        <v>18</v>
      </c>
      <c r="B20" s="92" t="s">
        <v>86</v>
      </c>
      <c r="C20" s="93">
        <v>9856564155</v>
      </c>
      <c r="D20" s="94">
        <v>43914</v>
      </c>
      <c r="E20" s="95">
        <v>0.75054398148148149</v>
      </c>
      <c r="F20" s="96" t="s">
        <v>27</v>
      </c>
      <c r="G20" s="96" t="s">
        <v>15</v>
      </c>
      <c r="H20" s="96" t="s">
        <v>18</v>
      </c>
      <c r="I20" s="97" t="s">
        <v>31</v>
      </c>
      <c r="J20" s="96">
        <v>1</v>
      </c>
      <c r="K20" s="97" t="s">
        <v>39</v>
      </c>
      <c r="L20" s="43" t="str">
        <f ca="1">IF(Таблица1[[#This Row],[Выполнен]]="Да",TODAY(),"")</f>
        <v/>
      </c>
      <c r="M20" s="96">
        <v>5</v>
      </c>
      <c r="N20" s="97" t="s">
        <v>39</v>
      </c>
      <c r="O20" s="97" t="s">
        <v>58</v>
      </c>
      <c r="P20" s="97">
        <v>0</v>
      </c>
      <c r="Q20" s="46" t="s">
        <v>71</v>
      </c>
    </row>
    <row r="21" spans="1:17" x14ac:dyDescent="0.25">
      <c r="A21" s="46">
        <f>IF(ISBLANK(B21), "", COUNTA($B$3:B21))</f>
        <v>19</v>
      </c>
      <c r="B21" s="100" t="s">
        <v>87</v>
      </c>
      <c r="C21" s="101">
        <v>9253598973</v>
      </c>
      <c r="D21" s="102">
        <v>43914</v>
      </c>
      <c r="E21" s="103">
        <v>0.75348379629629625</v>
      </c>
      <c r="F21" s="104" t="s">
        <v>27</v>
      </c>
      <c r="G21" s="104" t="s">
        <v>15</v>
      </c>
      <c r="H21" s="104" t="s">
        <v>19</v>
      </c>
      <c r="I21" s="105" t="s">
        <v>31</v>
      </c>
      <c r="J21" s="104">
        <v>15</v>
      </c>
      <c r="K21" s="105" t="s">
        <v>39</v>
      </c>
      <c r="L21" s="91" t="str">
        <f ca="1">IF(Таблица1[[#This Row],[Выполнен]]="Да",TODAY(),"")</f>
        <v/>
      </c>
      <c r="M21" s="104">
        <v>60</v>
      </c>
      <c r="N21" s="105" t="s">
        <v>39</v>
      </c>
      <c r="O21" s="105" t="s">
        <v>58</v>
      </c>
      <c r="P21" s="105">
        <v>0</v>
      </c>
      <c r="Q21" s="99" t="s">
        <v>71</v>
      </c>
    </row>
  </sheetData>
  <sheetProtection formatCells="0" formatRows="0" insertRows="0" selectLockedCells="1" sort="0" autoFilter="0"/>
  <mergeCells count="1">
    <mergeCell ref="A1:Q1"/>
  </mergeCells>
  <phoneticPr fontId="17" type="noConversion"/>
  <conditionalFormatting sqref="L3:L21">
    <cfRule type="expression" dxfId="1" priority="3">
      <formula>NOT(K3="Да")</formula>
    </cfRule>
  </conditionalFormatting>
  <conditionalFormatting sqref="J3:J21">
    <cfRule type="expression" dxfId="0" priority="1">
      <formula>I3</formula>
    </cfRule>
  </conditionalFormatting>
  <dataValidations disablePrompts="1" count="2">
    <dataValidation allowBlank="1" errorTitle="Некорректная длина" error="Введите полные ФИО" sqref="B3:B21" xr:uid="{D51C52A9-0220-4AD1-9EE4-35E8697ED050}"/>
    <dataValidation allowBlank="1" errorTitle="Некорректный номер" error="Введите действительный номер мобильного телефона в одном из форматов:_x000a_+7-(985)-123-45-67_x000a_+79851234567_x000a_8-(985)-123-45-67_x000a_89851234567" promptTitle="Введите номер телефона" prompt="Требуется номер мобильного телефона для подтверждения заказа._x000a_Формат:_x000a_+7-(985)-123-45-67_x000a_+79851234567_x000a_8-(985)-123-45-67_x000a_89851234567" sqref="C3:C21" xr:uid="{77E46721-544A-48FD-B784-479CFD4EEA03}"/>
  </dataValidations>
  <pageMargins left="0.7" right="0.7" top="0.75" bottom="0.75" header="0.3" footer="0.3"/>
  <pageSetup paperSize="9" orientation="portrait" horizontalDpi="4294967293" r:id="rId1"/>
  <ignoredErrors>
    <ignoredError sqref="L3:L19 L20:L21 A3:A21" unlockedFormula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promptTitle="Да/Нет" prompt="Да - если заказ выполнен;_x000a_Нет - если заказ ещё не выполнен;" xr:uid="{AAA1B51A-A503-4E8B-9C6B-0D4E82B8621C}">
          <x14:formula1>
            <xm:f>Списки!$E$2:$E$3</xm:f>
          </x14:formula1>
          <xm:sqref>K3:K20</xm:sqref>
        </x14:dataValidation>
        <x14:dataValidation type="list" allowBlank="1" showInputMessage="1" showErrorMessage="1" promptTitle="Да/Нет" prompt="Да - если заказ оплачен;_x000a_Нет - если заказ ещё не оплачен;" xr:uid="{D9B817F5-2709-4673-997B-FE60DF3005C8}">
          <x14:formula1>
            <xm:f>Списки!$E$2:$E$3</xm:f>
          </x14:formula1>
          <xm:sqref>N3:N20</xm:sqref>
        </x14:dataValidation>
        <x14:dataValidation type="list" allowBlank="1" showInputMessage="1" showErrorMessage="1" promptTitle="Да/Нет" prompt="Да - если заказ выполнен;_x000a_Нет - если заказ ещё не выполнен;" xr:uid="{22B3B005-6DC8-4D09-A390-AE89FDE273C8}">
          <x14:formula1>
            <xm:f>Списки!$E$2:$E$3</xm:f>
          </x14:formula1>
          <xm:sqref>K21</xm:sqref>
        </x14:dataValidation>
        <x14:dataValidation type="list" allowBlank="1" showInputMessage="1" showErrorMessage="1" promptTitle="Да/Нет" prompt="Да - если заказ оплачен;_x000a_Нет - если заказ ещё не оплачен;" xr:uid="{8B1A65BF-19D6-4FB4-B1EC-E791C17001A7}">
          <x14:formula1>
            <xm:f>Списки!$E$2:$E$3</xm:f>
          </x14:formula1>
          <xm:sqref>N21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029F66-5472-4D8A-9E8D-E7F96AA877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12</vt:i4>
      </vt:variant>
    </vt:vector>
  </HeadingPairs>
  <TitlesOfParts>
    <vt:vector size="17" baseType="lpstr">
      <vt:lpstr>Меню</vt:lpstr>
      <vt:lpstr>Прайс_лист</vt:lpstr>
      <vt:lpstr>Форма_д_зак.</vt:lpstr>
      <vt:lpstr>Списки</vt:lpstr>
      <vt:lpstr>Заказы</vt:lpstr>
      <vt:lpstr>CountOfCopies</vt:lpstr>
      <vt:lpstr>dCost</vt:lpstr>
      <vt:lpstr>Distance</vt:lpstr>
      <vt:lpstr>DocType</vt:lpstr>
      <vt:lpstr>Form</vt:lpstr>
      <vt:lpstr>Format</vt:lpstr>
      <vt:lpstr>Name</vt:lpstr>
      <vt:lpstr>Number</vt:lpstr>
      <vt:lpstr>PaperType</vt:lpstr>
      <vt:lpstr>PrintType</vt:lpstr>
      <vt:lpstr>Shipping</vt:lpstr>
      <vt:lpstr>zCost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Горохов Владислав</dc:creator>
  <cp:lastModifiedBy>Горохов Владислав</cp:lastModifiedBy>
  <dcterms:created xsi:type="dcterms:W3CDTF">2020-02-11T21:33:55Z</dcterms:created>
  <dcterms:modified xsi:type="dcterms:W3CDTF">2020-03-24T15:07:11Z</dcterms:modified>
</cp:coreProperties>
</file>